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kollegistans-my.sharepoint.com/personal/nureddin_aishan_kollegistans_ch/Documents/Maturitätsarbeit/Messen/"/>
    </mc:Choice>
  </mc:AlternateContent>
  <xr:revisionPtr revIDLastSave="88" documentId="8_{94F5D806-DB9F-4E7B-93A4-61D1EE67011C}" xr6:coauthVersionLast="47" xr6:coauthVersionMax="47" xr10:uidLastSave="{2FD4A4D7-6C68-405F-8503-E2E8C0F7E85C}"/>
  <bookViews>
    <workbookView xWindow="-110" yWindow="-110" windowWidth="19420" windowHeight="10300" firstSheet="5" activeTab="5" xr2:uid="{303C61F4-B82A-4933-8E04-08889860A751}"/>
  </bookViews>
  <sheets>
    <sheet name="K, E (V1)" sheetId="1" r:id="rId1"/>
    <sheet name="K, U" sheetId="2" r:id="rId2"/>
    <sheet name="T, E (V1)" sheetId="3" r:id="rId3"/>
    <sheet name="T, U" sheetId="4" r:id="rId4"/>
    <sheet name="K, E (V2)" sheetId="5" r:id="rId5"/>
    <sheet name="T, E (V2)" sheetId="6" r:id="rId6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6" i="6" l="1"/>
  <c r="M16" i="6" s="1"/>
  <c r="P16" i="6" s="1"/>
  <c r="R16" i="6" s="1"/>
  <c r="L15" i="6"/>
  <c r="M15" i="6" s="1"/>
  <c r="P15" i="6" s="1"/>
  <c r="R15" i="6" s="1"/>
  <c r="L13" i="6"/>
  <c r="M13" i="6" s="1"/>
  <c r="P13" i="6" s="1"/>
  <c r="R13" i="6" s="1"/>
  <c r="L12" i="6"/>
  <c r="M12" i="6" s="1"/>
  <c r="P12" i="6" s="1"/>
  <c r="R12" i="6" s="1"/>
  <c r="L10" i="6"/>
  <c r="M10" i="6" s="1"/>
  <c r="P10" i="6" s="1"/>
  <c r="R10" i="6" s="1"/>
  <c r="L9" i="6"/>
  <c r="M9" i="6" s="1"/>
  <c r="P9" i="6" s="1"/>
  <c r="R9" i="6" s="1"/>
  <c r="L7" i="6"/>
  <c r="M7" i="6" s="1"/>
  <c r="P7" i="6" s="1"/>
  <c r="R7" i="6" s="1"/>
  <c r="L6" i="6"/>
  <c r="M6" i="6" s="1"/>
  <c r="P6" i="6" s="1"/>
  <c r="R6" i="6" s="1"/>
  <c r="L16" i="5"/>
  <c r="M16" i="5" s="1"/>
  <c r="P16" i="5" s="1"/>
  <c r="R16" i="5" s="1"/>
  <c r="L15" i="5"/>
  <c r="M15" i="5" s="1"/>
  <c r="P15" i="5" s="1"/>
  <c r="R15" i="5" s="1"/>
  <c r="L13" i="5"/>
  <c r="M13" i="5" s="1"/>
  <c r="P13" i="5" s="1"/>
  <c r="R13" i="5" s="1"/>
  <c r="L12" i="5"/>
  <c r="M12" i="5" s="1"/>
  <c r="P12" i="5" s="1"/>
  <c r="R12" i="5" s="1"/>
  <c r="L10" i="5"/>
  <c r="M10" i="5" s="1"/>
  <c r="P10" i="5" s="1"/>
  <c r="R10" i="5" s="1"/>
  <c r="L9" i="5"/>
  <c r="M9" i="5" s="1"/>
  <c r="P9" i="5" s="1"/>
  <c r="R9" i="5" s="1"/>
  <c r="L7" i="5"/>
  <c r="M7" i="5" s="1"/>
  <c r="P7" i="5" s="1"/>
  <c r="R7" i="5" s="1"/>
  <c r="L6" i="5"/>
  <c r="M6" i="5" s="1"/>
  <c r="P6" i="5" s="1"/>
  <c r="R6" i="5" s="1"/>
  <c r="L16" i="4"/>
  <c r="M16" i="4" s="1"/>
  <c r="P16" i="4" s="1"/>
  <c r="R16" i="4" s="1"/>
  <c r="L15" i="4"/>
  <c r="M15" i="4" s="1"/>
  <c r="P15" i="4" s="1"/>
  <c r="R15" i="4" s="1"/>
  <c r="L13" i="4"/>
  <c r="M13" i="4" s="1"/>
  <c r="P13" i="4" s="1"/>
  <c r="R13" i="4" s="1"/>
  <c r="L12" i="4"/>
  <c r="M12" i="4" s="1"/>
  <c r="P12" i="4" s="1"/>
  <c r="R12" i="4" s="1"/>
  <c r="L10" i="4"/>
  <c r="M10" i="4" s="1"/>
  <c r="P10" i="4" s="1"/>
  <c r="R10" i="4" s="1"/>
  <c r="L9" i="4"/>
  <c r="M9" i="4" s="1"/>
  <c r="P9" i="4" s="1"/>
  <c r="R9" i="4" s="1"/>
  <c r="L7" i="4"/>
  <c r="M7" i="4" s="1"/>
  <c r="P7" i="4" s="1"/>
  <c r="R7" i="4" s="1"/>
  <c r="L6" i="4"/>
  <c r="M6" i="4" s="1"/>
  <c r="P6" i="4" s="1"/>
  <c r="R6" i="4" s="1"/>
  <c r="L13" i="3"/>
  <c r="M13" i="3" s="1"/>
  <c r="P13" i="3" s="1"/>
  <c r="R13" i="3" s="1"/>
  <c r="L12" i="3"/>
  <c r="M12" i="3" s="1"/>
  <c r="P12" i="3" s="1"/>
  <c r="R12" i="3" s="1"/>
  <c r="L10" i="3"/>
  <c r="M10" i="3" s="1"/>
  <c r="P10" i="3" s="1"/>
  <c r="R10" i="3" s="1"/>
  <c r="L9" i="3"/>
  <c r="M9" i="3" s="1"/>
  <c r="P9" i="3" s="1"/>
  <c r="R9" i="3" s="1"/>
  <c r="L7" i="3"/>
  <c r="M7" i="3" s="1"/>
  <c r="P7" i="3" s="1"/>
  <c r="R7" i="3" s="1"/>
  <c r="L6" i="3"/>
  <c r="M6" i="3" s="1"/>
  <c r="P6" i="3" s="1"/>
  <c r="R6" i="3" s="1"/>
  <c r="L16" i="2"/>
  <c r="M16" i="2" s="1"/>
  <c r="P16" i="2" s="1"/>
  <c r="R16" i="2" s="1"/>
  <c r="L15" i="2"/>
  <c r="M15" i="2" s="1"/>
  <c r="P15" i="2" s="1"/>
  <c r="R15" i="2" s="1"/>
  <c r="L13" i="2"/>
  <c r="M13" i="2" s="1"/>
  <c r="P13" i="2" s="1"/>
  <c r="R13" i="2" s="1"/>
  <c r="L12" i="2"/>
  <c r="M12" i="2" s="1"/>
  <c r="P12" i="2" s="1"/>
  <c r="R12" i="2" s="1"/>
  <c r="L10" i="2"/>
  <c r="M10" i="2" s="1"/>
  <c r="P10" i="2" s="1"/>
  <c r="R10" i="2" s="1"/>
  <c r="L9" i="2"/>
  <c r="M9" i="2" s="1"/>
  <c r="P9" i="2" s="1"/>
  <c r="R9" i="2" s="1"/>
  <c r="L7" i="2"/>
  <c r="M7" i="2" s="1"/>
  <c r="P7" i="2" s="1"/>
  <c r="R7" i="2" s="1"/>
  <c r="L6" i="2"/>
  <c r="M6" i="2" s="1"/>
  <c r="P6" i="2" s="1"/>
  <c r="R6" i="2" s="1"/>
  <c r="L16" i="1"/>
  <c r="M16" i="1" s="1"/>
  <c r="P16" i="1" s="1"/>
  <c r="R16" i="1" s="1"/>
  <c r="L15" i="1"/>
  <c r="M15" i="1" s="1"/>
  <c r="P15" i="1" s="1"/>
  <c r="R15" i="1" s="1"/>
  <c r="L13" i="1"/>
  <c r="M13" i="1" s="1"/>
  <c r="P13" i="1" s="1"/>
  <c r="R13" i="1" s="1"/>
  <c r="L12" i="1"/>
  <c r="M12" i="1" s="1"/>
  <c r="P12" i="1" s="1"/>
  <c r="R12" i="1" s="1"/>
  <c r="L10" i="1"/>
  <c r="M10" i="1" s="1"/>
  <c r="P10" i="1" s="1"/>
  <c r="R10" i="1" s="1"/>
  <c r="L9" i="1"/>
  <c r="M9" i="1" s="1"/>
  <c r="P9" i="1" s="1"/>
  <c r="R9" i="1" s="1"/>
  <c r="L7" i="1"/>
  <c r="M7" i="1" s="1"/>
  <c r="P7" i="1" s="1"/>
  <c r="R7" i="1" s="1"/>
  <c r="L6" i="1"/>
  <c r="M6" i="1" s="1"/>
  <c r="P6" i="1" s="1"/>
  <c r="R6" i="1" s="1"/>
  <c r="A4" i="6"/>
  <c r="A4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<sst xmlns="http://schemas.openxmlformats.org/spreadsheetml/2006/main" count="223" uniqueCount="49">
  <si>
    <r>
      <rPr>
        <sz val="28"/>
        <color theme="1"/>
        <rFont val="Aptos Narrow"/>
        <family val="2"/>
        <scheme val="minor"/>
      </rPr>
      <t xml:space="preserve">Grossreihe Kollegi </t>
    </r>
    <r>
      <rPr>
        <sz val="28"/>
        <color rgb="FFFF0000"/>
        <rFont val="Aptos Narrow"/>
        <family val="2"/>
        <scheme val="minor"/>
      </rPr>
      <t>EIGENBAU</t>
    </r>
  </si>
  <si>
    <t>Messung 1</t>
  </si>
  <si>
    <t>Messung 2</t>
  </si>
  <si>
    <t>Messung 3</t>
  </si>
  <si>
    <t>Messung 4</t>
  </si>
  <si>
    <t>Messung 5</t>
  </si>
  <si>
    <t>Messung 6</t>
  </si>
  <si>
    <t>Messung 7</t>
  </si>
  <si>
    <t>Messung 8</t>
  </si>
  <si>
    <t>Messung 9</t>
  </si>
  <si>
    <t>Messung 10</t>
  </si>
  <si>
    <t>[T] = s</t>
  </si>
  <si>
    <t>durchsch. Winkel</t>
  </si>
  <si>
    <t>[L] = m</t>
  </si>
  <si>
    <t>[g] = N/kg</t>
  </si>
  <si>
    <t>Literaturwert</t>
  </si>
  <si>
    <t>Abweichung</t>
  </si>
  <si>
    <t>Datum</t>
  </si>
  <si>
    <t>Reihe 1 (n=5)</t>
  </si>
  <si>
    <t>8.956 = Idealwert</t>
  </si>
  <si>
    <t>Schneide A</t>
  </si>
  <si>
    <t>7°</t>
  </si>
  <si>
    <t>Schneide B</t>
  </si>
  <si>
    <t>Reihe 2 (n=5)</t>
  </si>
  <si>
    <t xml:space="preserve">Reihe 3 </t>
  </si>
  <si>
    <t>Reihe 4</t>
  </si>
  <si>
    <r>
      <t xml:space="preserve">Grossreihe Kollegi </t>
    </r>
    <r>
      <rPr>
        <sz val="28"/>
        <color rgb="FF00B050"/>
        <rFont val="Aptos Narrow"/>
        <family val="2"/>
        <scheme val="minor"/>
      </rPr>
      <t>UNIPENDEL</t>
    </r>
  </si>
  <si>
    <t xml:space="preserve">Reihe 1 </t>
  </si>
  <si>
    <t xml:space="preserve">Reihe 2 </t>
  </si>
  <si>
    <t xml:space="preserve">Reihe 4 </t>
  </si>
  <si>
    <r>
      <rPr>
        <sz val="28"/>
        <color theme="1"/>
        <rFont val="Aptos Narrow"/>
        <family val="2"/>
        <scheme val="minor"/>
      </rPr>
      <t xml:space="preserve">Grossreihe Titlis </t>
    </r>
    <r>
      <rPr>
        <sz val="28"/>
        <color rgb="FFFF0000"/>
        <rFont val="Aptos Narrow"/>
        <family val="2"/>
        <scheme val="minor"/>
      </rPr>
      <t>EIGENBAU</t>
    </r>
  </si>
  <si>
    <t>Reihe 1  (n=5)</t>
  </si>
  <si>
    <r>
      <t xml:space="preserve">Grossreihe Titlis </t>
    </r>
    <r>
      <rPr>
        <sz val="28"/>
        <color rgb="FF00B050"/>
        <rFont val="Aptos Narrow"/>
        <family val="2"/>
        <scheme val="minor"/>
      </rPr>
      <t>UNIPENDEL</t>
    </r>
  </si>
  <si>
    <t>Reihe 2</t>
  </si>
  <si>
    <t>Reihe 3</t>
  </si>
  <si>
    <t>7.45°</t>
  </si>
  <si>
    <t>7.32°</t>
  </si>
  <si>
    <t>6.95°</t>
  </si>
  <si>
    <t>7.67°</t>
  </si>
  <si>
    <t>7.47°</t>
  </si>
  <si>
    <r>
      <t xml:space="preserve">Grossreihe Titlis </t>
    </r>
    <r>
      <rPr>
        <sz val="28"/>
        <color rgb="FFFF0000"/>
        <rFont val="Aptos Narrow"/>
        <family val="2"/>
        <scheme val="minor"/>
      </rPr>
      <t>EIGENBAU</t>
    </r>
  </si>
  <si>
    <t>6.77°</t>
  </si>
  <si>
    <t>7.37°</t>
  </si>
  <si>
    <t>7.09°</t>
  </si>
  <si>
    <t>7.25°</t>
  </si>
  <si>
    <t>7.03°</t>
  </si>
  <si>
    <t>7.44°</t>
  </si>
  <si>
    <t>7.21°</t>
  </si>
  <si>
    <t>7.48°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</si>
</sst>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8"/>
      <color rgb="FFFF0000"/>
      <name val="Aptos Narrow"/>
      <family val="2"/>
      <scheme val="minor"/>
    </font>
    <font>
      <sz val="28"/>
      <color rgb="FF00B05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6">
    <xf numFmtId="0" fontId="0" fillId="0" borderId="0" xfId="0"/>
    <xf numFmtId="0" fontId="2" fillId="5" borderId="0" xfId="0" applyFont="1" applyFill="1"/>
    <xf numFmtId="0" fontId="0" fillId="6" borderId="0" xfId="0" applyFill="1"/>
    <xf numFmtId="0" fontId="0" fillId="6" borderId="1" xfId="0" applyFill="1" applyBorder="1"/>
    <xf numFmtId="0" fontId="0" fillId="0" borderId="1" xfId="0" applyBorder="1"/>
    <xf numFmtId="0" fontId="2" fillId="0" borderId="0" xfId="0" applyFont="1"/>
    <xf numFmtId="164" fontId="0" fillId="4" borderId="3" xfId="0" applyNumberFormat="1" applyFill="1" applyBorder="1"/>
    <xf numFmtId="10" fontId="0" fillId="0" borderId="1" xfId="1" applyNumberFormat="1" applyFont="1" applyBorder="1"/>
    <xf numFmtId="14" fontId="0" fillId="0" borderId="0" xfId="0" applyNumberFormat="1" applyAlignment="1">
      <alignment horizontal="left"/>
    </xf>
    <xf numFmtId="164" fontId="0" fillId="7" borderId="4" xfId="0" applyNumberFormat="1" applyFill="1" applyBorder="1"/>
    <xf numFmtId="10" fontId="2" fillId="0" borderId="1" xfId="1" applyNumberFormat="1" applyFont="1" applyBorder="1"/>
    <xf numFmtId="0" fontId="2" fillId="5" borderId="2" xfId="2" applyFont="1" applyFill="1" applyBorder="1" applyAlignment="1">
      <alignment horizontal="left" vertical="center"/>
    </xf>
    <xf numFmtId="0" fontId="2" fillId="6" borderId="0" xfId="0" applyFont="1" applyFill="1"/>
    <xf numFmtId="164" fontId="0" fillId="6" borderId="0" xfId="0" applyNumberFormat="1" applyFill="1"/>
    <xf numFmtId="10" fontId="0" fillId="6" borderId="1" xfId="1" applyNumberFormat="1" applyFont="1" applyFill="1" applyBorder="1"/>
    <xf numFmtId="164" fontId="0" fillId="4" borderId="4" xfId="0" applyNumberFormat="1" applyFill="1" applyBorder="1"/>
    <xf numFmtId="164" fontId="2" fillId="0" borderId="0" xfId="0" applyNumberFormat="1" applyFont="1"/>
    <xf numFmtId="164" fontId="0" fillId="7" borderId="3" xfId="0" applyNumberFormat="1" applyFill="1" applyBorder="1"/>
    <xf numFmtId="0" fontId="2" fillId="5" borderId="5" xfId="0" applyFont="1" applyFill="1" applyBorder="1"/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0" fontId="0" fillId="8" borderId="0" xfId="0" applyFill="1"/>
    <xf numFmtId="0" fontId="0" fillId="8" borderId="1" xfId="0" applyFill="1" applyBorder="1"/>
    <xf numFmtId="0" fontId="1" fillId="3" borderId="2" xfId="2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3">
    <cellStyle name="20 % - Akzent3" xfId="2" builtinId="38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371104</xdr:colOff>
      <xdr:row>3</xdr:row>
      <xdr:rowOff>16494</xdr:rowOff>
    </xdr:from>
    <xdr:ext cx="4571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6087A7B3-EEB8-4244-8B28-382887B7B7A1}"/>
                </a:ext>
              </a:extLst>
            </xdr:cNvPr>
            <xdr:cNvSpPr txBox="1"/>
          </xdr:nvSpPr>
          <xdr:spPr>
            <a:xfrm>
              <a:off x="9248404" y="568944"/>
              <a:ext cx="457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acc>
                  </m:oMath>
                </m:oMathPara>
              </a14:m>
              <a:endParaRPr lang="de-CH" sz="1100"/>
            </a:p>
          </xdr:txBody>
        </xdr:sp>
      </mc:Choice>
      <mc:Fallback xmlns="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6087A7B3-EEB8-4244-8B28-382887B7B7A1}"/>
                </a:ext>
              </a:extLst>
            </xdr:cNvPr>
            <xdr:cNvSpPr txBox="1"/>
          </xdr:nvSpPr>
          <xdr:spPr>
            <a:xfrm>
              <a:off x="9248404" y="568944"/>
              <a:ext cx="457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de-DE" sz="1100" b="0" i="0">
                  <a:latin typeface="Cambria Math" panose="02040503050406030204" pitchFamily="18" charset="0"/>
                </a:rPr>
                <a:t>𝑡 ̅</a:t>
              </a:r>
              <a:endParaRPr lang="de-CH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371103</xdr:colOff>
      <xdr:row>3</xdr:row>
      <xdr:rowOff>8247</xdr:rowOff>
    </xdr:from>
    <xdr:ext cx="4571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EAB22237-CC95-439A-9F99-FD74A63BBCF6}"/>
                </a:ext>
              </a:extLst>
            </xdr:cNvPr>
            <xdr:cNvSpPr txBox="1"/>
          </xdr:nvSpPr>
          <xdr:spPr>
            <a:xfrm>
              <a:off x="9248403" y="3735697"/>
              <a:ext cx="457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acc>
                  </m:oMath>
                </m:oMathPara>
              </a14:m>
              <a:endParaRPr lang="de-CH" sz="1100"/>
            </a:p>
          </xdr:txBody>
        </xdr:sp>
      </mc:Choice>
      <mc:Fallback xmlns="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EAB22237-CC95-439A-9F99-FD74A63BBCF6}"/>
                </a:ext>
              </a:extLst>
            </xdr:cNvPr>
            <xdr:cNvSpPr txBox="1"/>
          </xdr:nvSpPr>
          <xdr:spPr>
            <a:xfrm>
              <a:off x="9248403" y="3735697"/>
              <a:ext cx="457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de-DE" sz="1100" b="0" i="0">
                  <a:latin typeface="Cambria Math" panose="02040503050406030204" pitchFamily="18" charset="0"/>
                </a:rPr>
                <a:t>𝑡 ̅</a:t>
              </a:r>
              <a:endParaRPr lang="de-CH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8</xdr:row>
      <xdr:rowOff>0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970C942F-2D12-47D4-8B26-BF333AD35C8F}"/>
            </a:ext>
          </a:extLst>
        </xdr:cNvPr>
        <xdr:cNvSpPr txBox="1"/>
      </xdr:nvSpPr>
      <xdr:spPr>
        <a:xfrm>
          <a:off x="8001000" y="1479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CH" sz="1100"/>
        </a:p>
      </xdr:txBody>
    </xdr:sp>
    <xdr:clientData/>
  </xdr:oneCellAnchor>
  <xdr:oneCellAnchor>
    <xdr:from>
      <xdr:col>10</xdr:col>
      <xdr:colOff>0</xdr:colOff>
      <xdr:row>9</xdr:row>
      <xdr:rowOff>0</xdr:rowOff>
    </xdr:from>
    <xdr:ext cx="65" cy="172227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0FE2760A-999A-4F53-BDF8-B7A34B7D1010}"/>
            </a:ext>
          </a:extLst>
        </xdr:cNvPr>
        <xdr:cNvSpPr txBox="1"/>
      </xdr:nvSpPr>
      <xdr:spPr>
        <a:xfrm>
          <a:off x="8001000" y="167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CH" sz="1100"/>
        </a:p>
      </xdr:txBody>
    </xdr:sp>
    <xdr:clientData/>
  </xdr:oneCellAnchor>
  <xdr:oneCellAnchor>
    <xdr:from>
      <xdr:col>11</xdr:col>
      <xdr:colOff>0</xdr:colOff>
      <xdr:row>3</xdr:row>
      <xdr:rowOff>0</xdr:rowOff>
    </xdr:from>
    <xdr:ext cx="441531" cy="1870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feld 3">
              <a:extLst>
                <a:ext uri="{FF2B5EF4-FFF2-40B4-BE49-F238E27FC236}">
                  <a16:creationId xmlns:a16="http://schemas.microsoft.com/office/drawing/2014/main" id="{D9E89606-1AF1-47F6-8F77-907FD9585E7A}"/>
                </a:ext>
              </a:extLst>
            </xdr:cNvPr>
            <xdr:cNvSpPr txBox="1"/>
          </xdr:nvSpPr>
          <xdr:spPr>
            <a:xfrm>
              <a:off x="8801100" y="552450"/>
              <a:ext cx="441531" cy="187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d>
                          <m:dPr>
                            <m:begChr m:val="["/>
                            <m:endChr m:val="]"/>
                            <m:ctrlPr>
                              <a:rPr lang="de-DE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de-DE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</m:d>
                        <m:r>
                          <a:rPr lang="de-CH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de-CH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acc>
                  </m:oMath>
                </m:oMathPara>
              </a14:m>
              <a:endParaRPr lang="de-CH" sz="1100"/>
            </a:p>
          </xdr:txBody>
        </xdr:sp>
      </mc:Choice>
      <mc:Fallback xmlns="">
        <xdr:sp macro="" textlink="">
          <xdr:nvSpPr>
            <xdr:cNvPr id="4" name="Textfeld 3">
              <a:extLst>
                <a:ext uri="{FF2B5EF4-FFF2-40B4-BE49-F238E27FC236}">
                  <a16:creationId xmlns:a16="http://schemas.microsoft.com/office/drawing/2014/main" id="{D9E89606-1AF1-47F6-8F77-907FD9585E7A}"/>
                </a:ext>
              </a:extLst>
            </xdr:cNvPr>
            <xdr:cNvSpPr txBox="1"/>
          </xdr:nvSpPr>
          <xdr:spPr>
            <a:xfrm>
              <a:off x="8801100" y="552450"/>
              <a:ext cx="441531" cy="187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b="0" i="0">
                  <a:latin typeface="Cambria Math" panose="02040503050406030204" pitchFamily="18" charset="0"/>
                </a:rPr>
                <a:t>([𝑡]</a:t>
              </a:r>
              <a:r>
                <a:rPr lang="de-CH" sz="1100" b="0" i="0">
                  <a:latin typeface="Cambria Math" panose="02040503050406030204" pitchFamily="18" charset="0"/>
                </a:rPr>
                <a:t>=𝑠</a:t>
              </a:r>
              <a:r>
                <a:rPr lang="de-DE" sz="1100" b="0" i="0">
                  <a:latin typeface="Cambria Math" panose="02040503050406030204" pitchFamily="18" charset="0"/>
                </a:rPr>
                <a:t>) ̅</a:t>
              </a:r>
              <a:endParaRPr lang="de-CH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371103</xdr:colOff>
      <xdr:row>3</xdr:row>
      <xdr:rowOff>8247</xdr:rowOff>
    </xdr:from>
    <xdr:ext cx="4571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D324ABEC-CE75-4209-81C1-84D281624FF6}"/>
                </a:ext>
              </a:extLst>
            </xdr:cNvPr>
            <xdr:cNvSpPr txBox="1"/>
          </xdr:nvSpPr>
          <xdr:spPr>
            <a:xfrm>
              <a:off x="9172203" y="3348347"/>
              <a:ext cx="457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acc>
                  </m:oMath>
                </m:oMathPara>
              </a14:m>
              <a:endParaRPr lang="de-CH" sz="1100"/>
            </a:p>
          </xdr:txBody>
        </xdr:sp>
      </mc:Choice>
      <mc:Fallback xmlns="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D324ABEC-CE75-4209-81C1-84D281624FF6}"/>
                </a:ext>
              </a:extLst>
            </xdr:cNvPr>
            <xdr:cNvSpPr txBox="1"/>
          </xdr:nvSpPr>
          <xdr:spPr>
            <a:xfrm>
              <a:off x="9172203" y="3348347"/>
              <a:ext cx="457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de-DE" sz="1100" b="0" i="0">
                  <a:latin typeface="Cambria Math" panose="02040503050406030204" pitchFamily="18" charset="0"/>
                </a:rPr>
                <a:t>𝑡 ̅</a:t>
              </a:r>
              <a:endParaRPr lang="de-CH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371104</xdr:colOff>
      <xdr:row>3</xdr:row>
      <xdr:rowOff>16494</xdr:rowOff>
    </xdr:from>
    <xdr:ext cx="4571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0E2BF32E-F9E7-4D52-993A-D89E86AC231D}"/>
                </a:ext>
              </a:extLst>
            </xdr:cNvPr>
            <xdr:cNvSpPr txBox="1"/>
          </xdr:nvSpPr>
          <xdr:spPr>
            <a:xfrm>
              <a:off x="8753104" y="568944"/>
              <a:ext cx="457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acc>
                  </m:oMath>
                </m:oMathPara>
              </a14:m>
              <a:endParaRPr lang="de-CH" sz="1100"/>
            </a:p>
          </xdr:txBody>
        </xdr:sp>
      </mc:Choice>
      <mc:Fallback xmlns="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0E2BF32E-F9E7-4D52-993A-D89E86AC231D}"/>
                </a:ext>
              </a:extLst>
            </xdr:cNvPr>
            <xdr:cNvSpPr txBox="1"/>
          </xdr:nvSpPr>
          <xdr:spPr>
            <a:xfrm>
              <a:off x="8753104" y="568944"/>
              <a:ext cx="457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de-DE" sz="1100" b="0" i="0">
                  <a:latin typeface="Cambria Math" panose="02040503050406030204" pitchFamily="18" charset="0"/>
                </a:rPr>
                <a:t>𝑡 ̅</a:t>
              </a:r>
              <a:endParaRPr lang="de-CH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371104</xdr:colOff>
      <xdr:row>3</xdr:row>
      <xdr:rowOff>16494</xdr:rowOff>
    </xdr:from>
    <xdr:ext cx="4571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55E1C488-90FD-409A-BAFF-33F8FF87E1B4}"/>
                </a:ext>
              </a:extLst>
            </xdr:cNvPr>
            <xdr:cNvSpPr txBox="1"/>
          </xdr:nvSpPr>
          <xdr:spPr>
            <a:xfrm>
              <a:off x="8753104" y="568944"/>
              <a:ext cx="457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acc>
                  </m:oMath>
                </m:oMathPara>
              </a14:m>
              <a:endParaRPr lang="de-CH" sz="1100"/>
            </a:p>
          </xdr:txBody>
        </xdr:sp>
      </mc:Choice>
      <mc:Fallback xmlns="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55E1C488-90FD-409A-BAFF-33F8FF87E1B4}"/>
                </a:ext>
              </a:extLst>
            </xdr:cNvPr>
            <xdr:cNvSpPr txBox="1"/>
          </xdr:nvSpPr>
          <xdr:spPr>
            <a:xfrm>
              <a:off x="8753104" y="568944"/>
              <a:ext cx="4571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de-DE" sz="1100" b="0" i="0">
                  <a:latin typeface="Cambria Math" panose="02040503050406030204" pitchFamily="18" charset="0"/>
                </a:rPr>
                <a:t>𝑡 ̅</a:t>
              </a:r>
              <a:endParaRPr lang="de-CH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E763-30C6-40A4-965E-980CF16BB603}">
  <dimension ref="A1:S16"/>
  <sheetViews>
    <sheetView zoomScale="79" workbookViewId="0">
      <selection activeCell="A8" sqref="A8"/>
    </sheetView>
  </sheetViews>
  <sheetFormatPr defaultColWidth="11.42578125" defaultRowHeight="14.45"/>
  <cols>
    <col min="1" max="1" width="11.85546875" customWidth="1"/>
  </cols>
  <sheetData>
    <row r="1" spans="1:19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9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9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9">
      <c r="A4" s="21"/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2" t="s">
        <v>10</v>
      </c>
      <c r="L4" s="21"/>
      <c r="M4" s="21" t="s">
        <v>11</v>
      </c>
      <c r="N4" s="21" t="s">
        <v>12</v>
      </c>
      <c r="O4" s="21" t="s">
        <v>13</v>
      </c>
      <c r="P4" s="21" t="s">
        <v>14</v>
      </c>
      <c r="Q4" s="21" t="s">
        <v>15</v>
      </c>
      <c r="R4" s="22" t="s">
        <v>16</v>
      </c>
      <c r="S4" s="21" t="s">
        <v>17</v>
      </c>
    </row>
    <row r="5" spans="1:19">
      <c r="A5" s="1" t="s">
        <v>18</v>
      </c>
      <c r="B5" s="2"/>
      <c r="C5" s="2"/>
      <c r="D5" s="2"/>
      <c r="E5" s="2"/>
      <c r="F5" s="2"/>
      <c r="G5" s="2"/>
      <c r="H5" s="2"/>
      <c r="I5" s="2"/>
      <c r="J5" s="2"/>
      <c r="K5" s="3"/>
      <c r="L5" s="2" t="s">
        <v>19</v>
      </c>
      <c r="M5" s="2"/>
      <c r="N5" s="2"/>
      <c r="O5" s="2"/>
      <c r="P5" s="2"/>
      <c r="Q5" s="2"/>
      <c r="R5" s="3"/>
    </row>
    <row r="6" spans="1:19" ht="15" thickBot="1">
      <c r="A6" s="23" t="s">
        <v>20</v>
      </c>
      <c r="B6">
        <v>8.3000000000000007</v>
      </c>
      <c r="C6">
        <v>8.33</v>
      </c>
      <c r="D6">
        <v>8.3800000000000008</v>
      </c>
      <c r="E6">
        <v>8.2899999999999991</v>
      </c>
      <c r="F6">
        <v>8.23</v>
      </c>
      <c r="G6">
        <v>8.26</v>
      </c>
      <c r="H6">
        <v>8.31</v>
      </c>
      <c r="I6">
        <v>8.25</v>
      </c>
      <c r="J6">
        <v>8.2799999999999994</v>
      </c>
      <c r="K6" s="4">
        <v>8.25</v>
      </c>
      <c r="L6" s="5">
        <f t="shared" ref="L6" si="0">AVERAGE(B6:K6)</f>
        <v>8.2880000000000003</v>
      </c>
      <c r="M6">
        <f>L6/5</f>
        <v>1.6576</v>
      </c>
      <c r="N6" s="19" t="s">
        <v>21</v>
      </c>
      <c r="O6">
        <v>0.79700000000000004</v>
      </c>
      <c r="P6" s="6">
        <f t="shared" ref="P6" si="1">(4*3.141592*3.141592*O6)/(M6*M6)</f>
        <v>11.451395157253641</v>
      </c>
      <c r="Q6">
        <v>9.8072999999999997</v>
      </c>
      <c r="R6" s="7">
        <f t="shared" ref="R6" si="2">P6/Q6-1</f>
        <v>0.16763993731747173</v>
      </c>
      <c r="S6" s="8">
        <v>46178</v>
      </c>
    </row>
    <row r="7" spans="1:19">
      <c r="A7" s="23" t="s">
        <v>22</v>
      </c>
      <c r="B7">
        <v>8.2100000000000009</v>
      </c>
      <c r="C7">
        <v>8.43</v>
      </c>
      <c r="D7">
        <v>8.36</v>
      </c>
      <c r="E7">
        <v>8.58</v>
      </c>
      <c r="F7">
        <v>8.5500000000000007</v>
      </c>
      <c r="G7">
        <v>8.58</v>
      </c>
      <c r="H7">
        <v>8.41</v>
      </c>
      <c r="I7">
        <v>8.4600000000000009</v>
      </c>
      <c r="J7">
        <v>8.4</v>
      </c>
      <c r="K7" s="4">
        <v>8.4499999999999993</v>
      </c>
      <c r="L7" s="5">
        <f>AVERAGE(B7:K7)</f>
        <v>8.4429999999999996</v>
      </c>
      <c r="M7">
        <f>L7/5</f>
        <v>1.6885999999999999</v>
      </c>
      <c r="N7" s="19" t="s">
        <v>21</v>
      </c>
      <c r="O7">
        <v>0.79700000000000004</v>
      </c>
      <c r="P7" s="9">
        <f>(4*3.141592*3.141592*O7)/(M7*M7)</f>
        <v>11.034795968304037</v>
      </c>
      <c r="Q7">
        <v>9.8072999999999997</v>
      </c>
      <c r="R7" s="10">
        <f>P7/Q7-1</f>
        <v>0.12516145812854074</v>
      </c>
    </row>
    <row r="8" spans="1:19" ht="15" thickBot="1">
      <c r="A8" s="11" t="s">
        <v>23</v>
      </c>
      <c r="B8" s="2"/>
      <c r="C8" s="2"/>
      <c r="D8" s="2"/>
      <c r="E8" s="2"/>
      <c r="F8" s="2"/>
      <c r="G8" s="2"/>
      <c r="H8" s="2"/>
      <c r="I8" s="2"/>
      <c r="J8" s="2"/>
      <c r="K8" s="3"/>
      <c r="L8" s="12"/>
      <c r="M8" s="2"/>
      <c r="N8" s="2"/>
      <c r="O8" s="2"/>
      <c r="P8" s="13"/>
      <c r="Q8" s="2"/>
      <c r="R8" s="14"/>
    </row>
    <row r="9" spans="1:19">
      <c r="A9" s="23" t="s">
        <v>20</v>
      </c>
      <c r="B9">
        <v>8.26</v>
      </c>
      <c r="C9">
        <v>8.33</v>
      </c>
      <c r="D9">
        <v>8.31</v>
      </c>
      <c r="E9">
        <v>8.33</v>
      </c>
      <c r="F9">
        <v>8.35</v>
      </c>
      <c r="G9">
        <v>8.25</v>
      </c>
      <c r="H9">
        <v>8.48</v>
      </c>
      <c r="I9">
        <v>8.2100000000000009</v>
      </c>
      <c r="J9">
        <v>8.36</v>
      </c>
      <c r="K9" s="4">
        <v>8.3000000000000007</v>
      </c>
      <c r="L9" s="5">
        <f t="shared" ref="L9:L10" si="3">AVERAGE(B9:K9)</f>
        <v>8.3180000000000014</v>
      </c>
      <c r="M9">
        <f>L9/5</f>
        <v>1.6636000000000002</v>
      </c>
      <c r="N9" s="19" t="s">
        <v>21</v>
      </c>
      <c r="O9">
        <v>0.79700000000000004</v>
      </c>
      <c r="P9" s="15">
        <f t="shared" ref="P9:P10" si="4">(4*3.141592*3.141592*O9)/(M9*M9)</f>
        <v>11.368942082122341</v>
      </c>
      <c r="Q9">
        <v>9.8072999999999997</v>
      </c>
      <c r="R9" s="7">
        <f t="shared" ref="R9" si="5">P9/Q9-1</f>
        <v>0.15923262081534584</v>
      </c>
      <c r="S9" s="8">
        <v>46178</v>
      </c>
    </row>
    <row r="10" spans="1:19" ht="15" thickBot="1">
      <c r="A10" s="23" t="s">
        <v>22</v>
      </c>
      <c r="B10">
        <v>8.56</v>
      </c>
      <c r="C10">
        <v>8.35</v>
      </c>
      <c r="D10">
        <v>8.51</v>
      </c>
      <c r="E10">
        <v>8.41</v>
      </c>
      <c r="F10">
        <v>8.2899999999999991</v>
      </c>
      <c r="G10">
        <v>8.36</v>
      </c>
      <c r="H10">
        <v>8.4499999999999993</v>
      </c>
      <c r="I10">
        <v>8.5500000000000007</v>
      </c>
      <c r="J10">
        <v>8.3800000000000008</v>
      </c>
      <c r="K10" s="4">
        <v>8.4499999999999993</v>
      </c>
      <c r="L10" s="16">
        <f t="shared" si="3"/>
        <v>8.4309999999999992</v>
      </c>
      <c r="M10">
        <f>L10/5</f>
        <v>1.6861999999999999</v>
      </c>
      <c r="N10" s="19" t="s">
        <v>21</v>
      </c>
      <c r="O10">
        <v>0.79700000000000004</v>
      </c>
      <c r="P10" s="17">
        <f t="shared" si="4"/>
        <v>11.06623038600269</v>
      </c>
      <c r="Q10">
        <v>9.8072999999999997</v>
      </c>
      <c r="R10" s="10">
        <f>P10/Q10-1</f>
        <v>0.12836666421978427</v>
      </c>
    </row>
    <row r="11" spans="1:19" ht="15" thickBot="1">
      <c r="A11" s="18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3"/>
      <c r="L11" s="12"/>
      <c r="M11" s="2"/>
      <c r="N11" s="2"/>
      <c r="O11" s="2"/>
      <c r="P11" s="13"/>
      <c r="Q11" s="2"/>
      <c r="R11" s="14"/>
    </row>
    <row r="12" spans="1:19">
      <c r="A12" s="23" t="s">
        <v>20</v>
      </c>
      <c r="B12">
        <v>16.8</v>
      </c>
      <c r="C12">
        <v>16.98</v>
      </c>
      <c r="D12">
        <v>16.98</v>
      </c>
      <c r="E12">
        <v>16.899999999999999</v>
      </c>
      <c r="F12">
        <v>16.88</v>
      </c>
      <c r="G12">
        <v>16.93</v>
      </c>
      <c r="H12">
        <v>16.829999999999998</v>
      </c>
      <c r="I12">
        <v>16.89</v>
      </c>
      <c r="J12">
        <v>16.78</v>
      </c>
      <c r="K12" s="4">
        <v>16.78</v>
      </c>
      <c r="L12" s="5">
        <f t="shared" ref="L12:L13" si="6">AVERAGE(B12:K12)</f>
        <v>16.875</v>
      </c>
      <c r="M12">
        <f>L12/10</f>
        <v>1.6875</v>
      </c>
      <c r="N12" s="19" t="s">
        <v>21</v>
      </c>
      <c r="O12">
        <v>0.79700000000000004</v>
      </c>
      <c r="P12" s="15">
        <f t="shared" ref="P12:P13" si="7">(4*3.141592*3.141592*O12)/(M12*M12)</f>
        <v>11.049186761481916</v>
      </c>
      <c r="Q12">
        <v>9.8072999999999997</v>
      </c>
      <c r="R12" s="7">
        <f t="shared" ref="R12:R13" si="8">P12/Q12-1</f>
        <v>0.12662881338206411</v>
      </c>
      <c r="S12" s="8">
        <v>46180</v>
      </c>
    </row>
    <row r="13" spans="1:19" ht="15" thickBot="1">
      <c r="A13" s="23" t="s">
        <v>22</v>
      </c>
      <c r="B13">
        <v>17.059999999999999</v>
      </c>
      <c r="C13">
        <v>17.2</v>
      </c>
      <c r="D13">
        <v>17.05</v>
      </c>
      <c r="E13">
        <v>17</v>
      </c>
      <c r="F13">
        <v>17.149999999999999</v>
      </c>
      <c r="G13">
        <v>17.05</v>
      </c>
      <c r="H13">
        <v>17.100000000000001</v>
      </c>
      <c r="I13">
        <v>17.03</v>
      </c>
      <c r="J13">
        <v>17.05</v>
      </c>
      <c r="K13" s="4">
        <v>17.010000000000002</v>
      </c>
      <c r="L13" s="5">
        <f t="shared" si="6"/>
        <v>17.07</v>
      </c>
      <c r="M13">
        <f>L13/10</f>
        <v>1.7070000000000001</v>
      </c>
      <c r="N13" s="19" t="s">
        <v>21</v>
      </c>
      <c r="O13">
        <v>0.79700000000000004</v>
      </c>
      <c r="P13" s="17">
        <f t="shared" si="7"/>
        <v>10.798186775893752</v>
      </c>
      <c r="Q13">
        <v>9.8072999999999997</v>
      </c>
      <c r="R13" s="10">
        <f t="shared" si="8"/>
        <v>0.10103563426159612</v>
      </c>
    </row>
    <row r="14" spans="1:19" ht="15" thickBot="1">
      <c r="A14" s="18" t="s">
        <v>25</v>
      </c>
      <c r="B14" s="2"/>
      <c r="C14" s="2"/>
      <c r="D14" s="2"/>
      <c r="E14" s="2"/>
      <c r="F14" s="2"/>
      <c r="G14" s="2"/>
      <c r="H14" s="2"/>
      <c r="I14" s="2"/>
      <c r="J14" s="2"/>
      <c r="K14" s="3"/>
      <c r="L14" s="12"/>
      <c r="M14" s="2"/>
      <c r="N14" s="2"/>
      <c r="O14" s="2"/>
      <c r="P14" s="13"/>
      <c r="Q14" s="2"/>
      <c r="R14" s="14"/>
    </row>
    <row r="15" spans="1:19">
      <c r="A15" s="23" t="s">
        <v>20</v>
      </c>
      <c r="B15">
        <v>16.78</v>
      </c>
      <c r="C15">
        <v>16.850000000000001</v>
      </c>
      <c r="D15">
        <v>16.829999999999998</v>
      </c>
      <c r="E15">
        <v>16.829999999999998</v>
      </c>
      <c r="F15">
        <v>16.71</v>
      </c>
      <c r="G15">
        <v>16.93</v>
      </c>
      <c r="H15">
        <v>16.93</v>
      </c>
      <c r="I15">
        <v>16.91</v>
      </c>
      <c r="J15">
        <v>16.809999999999999</v>
      </c>
      <c r="K15" s="4">
        <v>16.850000000000001</v>
      </c>
      <c r="L15" s="5">
        <f t="shared" ref="L15:L16" si="9">AVERAGE(B15:K15)</f>
        <v>16.843</v>
      </c>
      <c r="M15">
        <f>L15/10</f>
        <v>1.6842999999999999</v>
      </c>
      <c r="N15" s="19" t="s">
        <v>21</v>
      </c>
      <c r="O15">
        <v>0.79700000000000004</v>
      </c>
      <c r="P15" s="15">
        <f t="shared" ref="P15:P16" si="10">(4*3.141592*3.141592*O15)/(M15*M15)</f>
        <v>11.091211324065956</v>
      </c>
      <c r="Q15">
        <v>9.8072999999999997</v>
      </c>
      <c r="R15" s="7">
        <f t="shared" ref="R15:R16" si="11">P15/Q15-1</f>
        <v>0.13091384214472446</v>
      </c>
      <c r="S15" s="8">
        <v>46180</v>
      </c>
    </row>
    <row r="16" spans="1:19" ht="15" thickBot="1">
      <c r="A16" s="23" t="s">
        <v>22</v>
      </c>
      <c r="B16">
        <v>17.03</v>
      </c>
      <c r="C16">
        <v>17.11</v>
      </c>
      <c r="D16">
        <v>17</v>
      </c>
      <c r="E16">
        <v>17.03</v>
      </c>
      <c r="F16">
        <v>17.05</v>
      </c>
      <c r="G16">
        <v>16.93</v>
      </c>
      <c r="H16">
        <v>17.100000000000001</v>
      </c>
      <c r="I16">
        <v>17.05</v>
      </c>
      <c r="J16">
        <v>16.95</v>
      </c>
      <c r="K16" s="4">
        <v>17.03</v>
      </c>
      <c r="L16" s="5">
        <f t="shared" si="9"/>
        <v>17.027999999999999</v>
      </c>
      <c r="M16">
        <f>L16/10</f>
        <v>1.7027999999999999</v>
      </c>
      <c r="N16" s="19" t="s">
        <v>21</v>
      </c>
      <c r="O16">
        <v>0.79700000000000004</v>
      </c>
      <c r="P16" s="17">
        <f t="shared" si="10"/>
        <v>10.851520480227995</v>
      </c>
      <c r="Q16">
        <v>9.8072999999999997</v>
      </c>
      <c r="R16" s="10">
        <f t="shared" si="11"/>
        <v>0.10647379811242597</v>
      </c>
    </row>
  </sheetData>
  <mergeCells count="1">
    <mergeCell ref="A1:R3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9E79-18D4-4DC5-93B8-670C28DE8183}">
  <dimension ref="A1:S16"/>
  <sheetViews>
    <sheetView zoomScale="74" workbookViewId="0">
      <selection activeCell="N4" sqref="N4:N16"/>
    </sheetView>
  </sheetViews>
  <sheetFormatPr defaultColWidth="11.42578125" defaultRowHeight="14.45"/>
  <sheetData>
    <row r="1" spans="1:19" ht="14.45" customHeight="1">
      <c r="A1" s="24" t="s">
        <v>26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9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9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9">
      <c r="A4" s="21"/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2" t="s">
        <v>10</v>
      </c>
      <c r="L4" s="21"/>
      <c r="M4" s="21" t="s">
        <v>11</v>
      </c>
      <c r="N4" s="21" t="s">
        <v>12</v>
      </c>
      <c r="O4" s="21" t="s">
        <v>13</v>
      </c>
      <c r="P4" s="21" t="s">
        <v>14</v>
      </c>
      <c r="Q4" s="21" t="s">
        <v>15</v>
      </c>
      <c r="R4" s="22" t="s">
        <v>16</v>
      </c>
      <c r="S4" s="21" t="s">
        <v>17</v>
      </c>
    </row>
    <row r="5" spans="1:19">
      <c r="A5" s="1" t="s">
        <v>27</v>
      </c>
      <c r="B5" s="2"/>
      <c r="C5" s="2"/>
      <c r="D5" s="2"/>
      <c r="E5" s="2"/>
      <c r="F5" s="2"/>
      <c r="G5" s="2"/>
      <c r="H5" s="2"/>
      <c r="I5" s="2"/>
      <c r="J5" s="2"/>
      <c r="K5" s="3"/>
      <c r="L5" s="2"/>
      <c r="M5" s="2"/>
      <c r="N5" s="2"/>
      <c r="O5" s="2"/>
      <c r="P5" s="2"/>
      <c r="Q5" s="2"/>
      <c r="R5" s="3"/>
    </row>
    <row r="6" spans="1:19" ht="15" thickBot="1">
      <c r="A6" s="23" t="s">
        <v>20</v>
      </c>
      <c r="B6">
        <v>15.3</v>
      </c>
      <c r="C6">
        <v>15.33</v>
      </c>
      <c r="D6">
        <v>15.4</v>
      </c>
      <c r="E6">
        <v>15.33</v>
      </c>
      <c r="F6">
        <v>15.2</v>
      </c>
      <c r="G6">
        <v>15.36</v>
      </c>
      <c r="H6">
        <v>15.26</v>
      </c>
      <c r="I6">
        <v>15.3</v>
      </c>
      <c r="J6">
        <v>15.41</v>
      </c>
      <c r="K6" s="4">
        <v>15.26</v>
      </c>
      <c r="L6" s="5">
        <f>AVERAGE(B6:K6)</f>
        <v>15.315000000000001</v>
      </c>
      <c r="M6">
        <f>L6/10</f>
        <v>1.5315000000000001</v>
      </c>
      <c r="N6" s="19" t="s">
        <v>21</v>
      </c>
      <c r="O6">
        <v>0.60499999999999998</v>
      </c>
      <c r="P6" s="6">
        <f>(4*3.141592*3.141592*O6)/(M6*M6)</f>
        <v>10.18312156546366</v>
      </c>
      <c r="Q6">
        <v>9.8072999999999997</v>
      </c>
      <c r="R6" s="7">
        <f>P6/Q6-1</f>
        <v>3.8320594400462982E-2</v>
      </c>
      <c r="S6" s="8">
        <v>46178</v>
      </c>
    </row>
    <row r="7" spans="1:19">
      <c r="A7" s="23" t="s">
        <v>22</v>
      </c>
      <c r="B7">
        <v>15.48</v>
      </c>
      <c r="C7">
        <v>15.46</v>
      </c>
      <c r="D7">
        <v>15.6</v>
      </c>
      <c r="E7">
        <v>15.61</v>
      </c>
      <c r="F7">
        <v>15.63</v>
      </c>
      <c r="G7">
        <v>15.6</v>
      </c>
      <c r="H7">
        <v>15.68</v>
      </c>
      <c r="I7">
        <v>15.55</v>
      </c>
      <c r="J7">
        <v>15.61</v>
      </c>
      <c r="K7" s="4">
        <v>15.5</v>
      </c>
      <c r="L7" s="5">
        <f t="shared" ref="L7" si="0">AVERAGE(B7:K7)</f>
        <v>15.571999999999999</v>
      </c>
      <c r="M7">
        <f>L7/10</f>
        <v>1.5571999999999999</v>
      </c>
      <c r="N7" s="19" t="s">
        <v>21</v>
      </c>
      <c r="O7">
        <v>0.60499999999999998</v>
      </c>
      <c r="P7" s="9">
        <f t="shared" ref="P7" si="1">(4*3.141592*3.141592*O7)/(M7*M7)</f>
        <v>9.8497711584637333</v>
      </c>
      <c r="Q7">
        <v>9.8072999999999997</v>
      </c>
      <c r="R7" s="10">
        <f t="shared" ref="R7" si="2">P7/Q7-1</f>
        <v>4.3305658503087763E-3</v>
      </c>
    </row>
    <row r="8" spans="1:19" ht="15" thickBot="1">
      <c r="A8" s="11" t="s">
        <v>28</v>
      </c>
      <c r="B8" s="2"/>
      <c r="C8" s="2"/>
      <c r="D8" s="2"/>
      <c r="E8" s="2"/>
      <c r="F8" s="2"/>
      <c r="G8" s="2"/>
      <c r="H8" s="2"/>
      <c r="I8" s="2"/>
      <c r="J8" s="2"/>
      <c r="K8" s="3"/>
      <c r="L8" s="12"/>
      <c r="M8" s="2"/>
      <c r="N8" s="2"/>
      <c r="O8" s="2"/>
      <c r="P8" s="13"/>
      <c r="Q8" s="2"/>
      <c r="R8" s="14"/>
    </row>
    <row r="9" spans="1:19">
      <c r="A9" s="23" t="s">
        <v>20</v>
      </c>
      <c r="B9">
        <v>15.53</v>
      </c>
      <c r="C9">
        <v>15.46</v>
      </c>
      <c r="D9">
        <v>15.56</v>
      </c>
      <c r="E9">
        <v>15.51</v>
      </c>
      <c r="F9">
        <v>15.4</v>
      </c>
      <c r="G9">
        <v>15.53</v>
      </c>
      <c r="H9">
        <v>15.53</v>
      </c>
      <c r="I9">
        <v>15.4</v>
      </c>
      <c r="J9">
        <v>15.43</v>
      </c>
      <c r="K9" s="4">
        <v>15.43</v>
      </c>
      <c r="L9" s="5">
        <f t="shared" ref="L9:L10" si="3">AVERAGE(B9:K9)</f>
        <v>15.478000000000003</v>
      </c>
      <c r="M9">
        <f>L9/10</f>
        <v>1.5478000000000003</v>
      </c>
      <c r="N9" s="19" t="s">
        <v>21</v>
      </c>
      <c r="O9">
        <v>0.60499999999999998</v>
      </c>
      <c r="P9" s="15">
        <f t="shared" ref="P9:P10" si="4">(4*3.141592*3.141592*O9)/(M9*M9)</f>
        <v>9.9697724482836723</v>
      </c>
      <c r="Q9">
        <v>9.8072999999999997</v>
      </c>
      <c r="R9" s="7">
        <f t="shared" ref="R9:R10" si="5">P9/Q9-1</f>
        <v>1.6566480915611193E-2</v>
      </c>
      <c r="S9" s="8">
        <v>46180</v>
      </c>
    </row>
    <row r="10" spans="1:19" ht="15" thickBot="1">
      <c r="A10" s="23" t="s">
        <v>22</v>
      </c>
      <c r="B10">
        <v>15.55</v>
      </c>
      <c r="C10">
        <v>15.55</v>
      </c>
      <c r="D10">
        <v>15.73</v>
      </c>
      <c r="E10">
        <v>15.6</v>
      </c>
      <c r="F10">
        <v>15.63</v>
      </c>
      <c r="G10">
        <v>15.61</v>
      </c>
      <c r="H10">
        <v>15.6</v>
      </c>
      <c r="I10">
        <v>15.73</v>
      </c>
      <c r="J10">
        <v>15.55</v>
      </c>
      <c r="K10" s="4">
        <v>15.58</v>
      </c>
      <c r="L10" s="16">
        <f t="shared" si="3"/>
        <v>15.613000000000003</v>
      </c>
      <c r="M10">
        <f>L10/10</f>
        <v>1.5613000000000004</v>
      </c>
      <c r="N10" s="19" t="s">
        <v>21</v>
      </c>
      <c r="O10">
        <v>0.60499999999999998</v>
      </c>
      <c r="P10" s="17">
        <f t="shared" si="4"/>
        <v>9.7981077534322996</v>
      </c>
      <c r="Q10">
        <v>9.8072999999999997</v>
      </c>
      <c r="R10" s="10">
        <f t="shared" si="5"/>
        <v>-9.3728616109434171E-4</v>
      </c>
    </row>
    <row r="11" spans="1:19" ht="15" thickBot="1">
      <c r="A11" s="18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3"/>
      <c r="L11" s="12"/>
      <c r="M11" s="2"/>
      <c r="N11" s="2"/>
      <c r="O11" s="2"/>
      <c r="P11" s="13"/>
      <c r="Q11" s="2"/>
      <c r="R11" s="14"/>
    </row>
    <row r="12" spans="1:19">
      <c r="A12" s="23" t="s">
        <v>20</v>
      </c>
      <c r="B12">
        <v>15.46</v>
      </c>
      <c r="C12">
        <v>15.48</v>
      </c>
      <c r="D12">
        <v>15.48</v>
      </c>
      <c r="E12">
        <v>15.5</v>
      </c>
      <c r="F12">
        <v>15.38</v>
      </c>
      <c r="G12">
        <v>15.56</v>
      </c>
      <c r="H12">
        <v>15.44</v>
      </c>
      <c r="I12">
        <v>15.53</v>
      </c>
      <c r="J12">
        <v>15.51</v>
      </c>
      <c r="K12" s="4">
        <v>15.51</v>
      </c>
      <c r="L12" s="5">
        <f t="shared" ref="L12:L13" si="6">AVERAGE(B12:K12)</f>
        <v>15.484999999999999</v>
      </c>
      <c r="M12">
        <f t="shared" ref="M12:M13" si="7">L12/10</f>
        <v>1.5485</v>
      </c>
      <c r="N12" s="19" t="s">
        <v>21</v>
      </c>
      <c r="O12">
        <v>0.60499999999999998</v>
      </c>
      <c r="P12" s="15">
        <f t="shared" ref="P12:P13" si="8">(4*3.141592*3.141592*O12)/(M12*M12)</f>
        <v>9.9607608069274836</v>
      </c>
      <c r="Q12">
        <v>9.8072999999999997</v>
      </c>
      <c r="R12" s="7">
        <f t="shared" ref="R12:R13" si="9">P12/Q12-1</f>
        <v>1.5647610140149038E-2</v>
      </c>
      <c r="S12" s="8">
        <v>46180</v>
      </c>
    </row>
    <row r="13" spans="1:19" ht="15" thickBot="1">
      <c r="A13" s="23" t="s">
        <v>22</v>
      </c>
      <c r="B13">
        <v>15.55</v>
      </c>
      <c r="C13">
        <v>15.6</v>
      </c>
      <c r="D13">
        <v>15.61</v>
      </c>
      <c r="E13">
        <v>15.58</v>
      </c>
      <c r="F13">
        <v>15.59</v>
      </c>
      <c r="G13">
        <v>15.57</v>
      </c>
      <c r="H13">
        <v>15.61</v>
      </c>
      <c r="I13">
        <v>15.58</v>
      </c>
      <c r="J13">
        <v>15.6</v>
      </c>
      <c r="K13" s="4">
        <v>15.6</v>
      </c>
      <c r="L13" s="5">
        <f t="shared" si="6"/>
        <v>15.588999999999999</v>
      </c>
      <c r="M13">
        <f t="shared" si="7"/>
        <v>1.5589</v>
      </c>
      <c r="N13" s="19" t="s">
        <v>21</v>
      </c>
      <c r="O13">
        <v>0.60499999999999998</v>
      </c>
      <c r="P13" s="17">
        <f t="shared" si="8"/>
        <v>9.8283002740384831</v>
      </c>
      <c r="Q13">
        <v>9.8072999999999997</v>
      </c>
      <c r="R13" s="10">
        <f t="shared" si="9"/>
        <v>2.1412900633694942E-3</v>
      </c>
    </row>
    <row r="14" spans="1:19" ht="15" thickBot="1">
      <c r="A14" s="18" t="s">
        <v>29</v>
      </c>
      <c r="B14" s="2"/>
      <c r="C14" s="2"/>
      <c r="D14" s="2"/>
      <c r="E14" s="2"/>
      <c r="F14" s="2"/>
      <c r="G14" s="2"/>
      <c r="H14" s="2"/>
      <c r="I14" s="2"/>
      <c r="J14" s="2"/>
      <c r="K14" s="3"/>
      <c r="L14" s="12"/>
      <c r="M14" s="2"/>
      <c r="N14" s="2"/>
      <c r="O14" s="2"/>
      <c r="P14" s="13"/>
      <c r="Q14" s="2"/>
      <c r="R14" s="14"/>
    </row>
    <row r="15" spans="1:19">
      <c r="A15" s="23" t="s">
        <v>20</v>
      </c>
      <c r="B15">
        <v>15.51</v>
      </c>
      <c r="C15">
        <v>15.53</v>
      </c>
      <c r="D15">
        <v>15.45</v>
      </c>
      <c r="E15">
        <v>15.56</v>
      </c>
      <c r="F15">
        <v>15.53</v>
      </c>
      <c r="G15">
        <v>15.41</v>
      </c>
      <c r="H15">
        <v>15.55</v>
      </c>
      <c r="I15">
        <v>15.55</v>
      </c>
      <c r="J15">
        <v>15.41</v>
      </c>
      <c r="K15" s="4">
        <v>15.48</v>
      </c>
      <c r="L15" s="5">
        <f t="shared" ref="L15:L16" si="10">AVERAGE(B15:K15)</f>
        <v>15.497999999999999</v>
      </c>
      <c r="M15">
        <f t="shared" ref="M15:M16" si="11">L15/10</f>
        <v>1.5497999999999998</v>
      </c>
      <c r="N15" s="19" t="s">
        <v>21</v>
      </c>
      <c r="O15">
        <v>0.60499999999999998</v>
      </c>
      <c r="P15" s="15">
        <f t="shared" ref="P15:P16" si="12">(4*3.141592*3.141592*O15)/(M15*M15)</f>
        <v>9.944057286309306</v>
      </c>
      <c r="Q15">
        <v>9.8072999999999997</v>
      </c>
      <c r="R15" s="7">
        <f t="shared" ref="R15:R16" si="13">P15/Q15-1</f>
        <v>1.3944437950231592E-2</v>
      </c>
      <c r="S15" s="8">
        <v>46180</v>
      </c>
    </row>
    <row r="16" spans="1:19" ht="15" thickBot="1">
      <c r="A16" s="23" t="s">
        <v>22</v>
      </c>
      <c r="B16">
        <v>15.58</v>
      </c>
      <c r="C16">
        <v>15.58</v>
      </c>
      <c r="D16">
        <v>15.53</v>
      </c>
      <c r="E16">
        <v>15.6</v>
      </c>
      <c r="F16">
        <v>15.63</v>
      </c>
      <c r="G16">
        <v>15.68</v>
      </c>
      <c r="H16">
        <v>15.65</v>
      </c>
      <c r="I16">
        <v>15.68</v>
      </c>
      <c r="J16">
        <v>15.53</v>
      </c>
      <c r="K16" s="4">
        <v>15.68</v>
      </c>
      <c r="L16" s="5">
        <f t="shared" si="10"/>
        <v>15.614000000000001</v>
      </c>
      <c r="M16">
        <f t="shared" si="11"/>
        <v>1.5614000000000001</v>
      </c>
      <c r="N16" s="19" t="s">
        <v>21</v>
      </c>
      <c r="O16">
        <v>0.60499999999999998</v>
      </c>
      <c r="P16" s="17">
        <f t="shared" si="12"/>
        <v>9.7968527522803779</v>
      </c>
      <c r="Q16">
        <v>9.8072999999999997</v>
      </c>
      <c r="R16" s="10">
        <f t="shared" si="13"/>
        <v>-1.0652521814996652E-3</v>
      </c>
    </row>
  </sheetData>
  <mergeCells count="1">
    <mergeCell ref="A1:R3"/>
  </mergeCells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AAE8-97A0-4E16-BC77-4B6AC9DB6C0B}">
  <dimension ref="A1:S16"/>
  <sheetViews>
    <sheetView zoomScale="82" workbookViewId="0">
      <selection activeCell="C17" sqref="C17"/>
    </sheetView>
  </sheetViews>
  <sheetFormatPr defaultColWidth="11.42578125" defaultRowHeight="14.45"/>
  <cols>
    <col min="1" max="1" width="12.28515625" customWidth="1"/>
  </cols>
  <sheetData>
    <row r="1" spans="1:19" ht="14.45" customHeight="1">
      <c r="A1" s="24" t="s">
        <v>30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9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9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9">
      <c r="A4" s="21"/>
      <c r="B4" s="21" t="s">
        <v>1</v>
      </c>
      <c r="C4" s="21" t="s">
        <v>2</v>
      </c>
      <c r="D4" s="21" t="s">
        <v>3</v>
      </c>
      <c r="E4" s="21"/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2" t="s">
        <v>10</v>
      </c>
      <c r="L4" s="21"/>
      <c r="M4" s="21" t="s">
        <v>11</v>
      </c>
      <c r="N4" s="21" t="s">
        <v>12</v>
      </c>
      <c r="O4" s="21" t="s">
        <v>13</v>
      </c>
      <c r="P4" s="21" t="s">
        <v>14</v>
      </c>
      <c r="Q4" s="21" t="s">
        <v>15</v>
      </c>
      <c r="R4" s="22" t="s">
        <v>16</v>
      </c>
      <c r="S4" s="21" t="s">
        <v>17</v>
      </c>
    </row>
    <row r="5" spans="1:19">
      <c r="A5" s="1" t="s">
        <v>31</v>
      </c>
      <c r="B5" s="2"/>
      <c r="C5" s="2"/>
      <c r="D5" s="2"/>
      <c r="E5" s="2"/>
      <c r="F5" s="2"/>
      <c r="G5" s="2"/>
      <c r="H5" s="2"/>
      <c r="I5" s="2"/>
      <c r="J5" s="2"/>
      <c r="K5" s="3"/>
      <c r="L5" s="2"/>
      <c r="M5" s="2"/>
      <c r="N5" s="2"/>
      <c r="O5" s="2"/>
      <c r="P5" s="2"/>
      <c r="Q5" s="2"/>
      <c r="R5" s="3"/>
    </row>
    <row r="6" spans="1:19" ht="15" thickBot="1">
      <c r="A6" s="23" t="s">
        <v>20</v>
      </c>
      <c r="B6">
        <v>8.43</v>
      </c>
      <c r="C6">
        <v>8.43</v>
      </c>
      <c r="D6">
        <v>8.43</v>
      </c>
      <c r="E6">
        <v>8.35</v>
      </c>
      <c r="F6">
        <v>8.5</v>
      </c>
      <c r="G6">
        <v>8.43</v>
      </c>
      <c r="H6">
        <v>8.36</v>
      </c>
      <c r="I6">
        <v>8.3000000000000007</v>
      </c>
      <c r="J6">
        <v>8.4499999999999993</v>
      </c>
      <c r="K6" s="4">
        <v>8.4499999999999993</v>
      </c>
      <c r="L6" s="5">
        <f>AVERAGE(B6:K6)</f>
        <v>8.4130000000000003</v>
      </c>
      <c r="M6">
        <f>L6/5</f>
        <v>1.6826000000000001</v>
      </c>
      <c r="N6" s="19" t="s">
        <v>21</v>
      </c>
      <c r="O6">
        <v>0.79700000000000004</v>
      </c>
      <c r="P6" s="6">
        <f>(4*3.141592*3.141592*O6)/(M6*M6)</f>
        <v>11.113634460012618</v>
      </c>
      <c r="Q6">
        <v>9.7995000000000001</v>
      </c>
      <c r="R6" s="7">
        <f t="shared" ref="R6" si="0">P6/Q6-1</f>
        <v>0.1341021950112371</v>
      </c>
      <c r="S6" s="8">
        <v>46187</v>
      </c>
    </row>
    <row r="7" spans="1:19">
      <c r="A7" s="23" t="s">
        <v>22</v>
      </c>
      <c r="B7">
        <v>8.5500000000000007</v>
      </c>
      <c r="C7">
        <v>8.4600000000000009</v>
      </c>
      <c r="D7">
        <v>8.48</v>
      </c>
      <c r="E7">
        <v>8.51</v>
      </c>
      <c r="F7">
        <v>8.56</v>
      </c>
      <c r="G7">
        <v>8.5299999999999994</v>
      </c>
      <c r="H7">
        <v>8.48</v>
      </c>
      <c r="I7">
        <v>8.5299999999999994</v>
      </c>
      <c r="J7">
        <v>8.5500000000000007</v>
      </c>
      <c r="K7" s="4">
        <v>8.41</v>
      </c>
      <c r="L7" s="5">
        <f>AVERAGE(B7:K7)</f>
        <v>8.5060000000000002</v>
      </c>
      <c r="M7">
        <f>L7/5</f>
        <v>1.7012</v>
      </c>
      <c r="N7" s="19" t="s">
        <v>21</v>
      </c>
      <c r="O7">
        <v>0.79700000000000004</v>
      </c>
      <c r="P7" s="9">
        <f>(4*3.141592*3.141592*O7)/(M7*M7)</f>
        <v>10.871942062124981</v>
      </c>
      <c r="Q7">
        <v>9.7995000000000001</v>
      </c>
      <c r="R7" s="10">
        <f>P7/Q7-1</f>
        <v>0.10943844707637962</v>
      </c>
    </row>
    <row r="8" spans="1:19" ht="15" thickBot="1">
      <c r="A8" s="11" t="s">
        <v>28</v>
      </c>
      <c r="B8" s="2"/>
      <c r="C8" s="2"/>
      <c r="D8" s="2"/>
      <c r="E8" s="2"/>
      <c r="F8" s="2"/>
      <c r="G8" s="2"/>
      <c r="H8" s="2"/>
      <c r="I8" s="2"/>
      <c r="J8" s="2"/>
      <c r="K8" s="3"/>
      <c r="L8" s="12"/>
      <c r="M8" s="2"/>
      <c r="N8" s="2"/>
      <c r="O8" s="2"/>
      <c r="P8" s="13"/>
      <c r="Q8" s="2"/>
      <c r="R8" s="14"/>
    </row>
    <row r="9" spans="1:19">
      <c r="A9" s="23" t="s">
        <v>20</v>
      </c>
      <c r="B9">
        <v>16.809999999999999</v>
      </c>
      <c r="C9">
        <v>16.78</v>
      </c>
      <c r="D9">
        <v>16.96</v>
      </c>
      <c r="E9">
        <v>16.98</v>
      </c>
      <c r="F9">
        <v>16.829999999999998</v>
      </c>
      <c r="G9">
        <v>16.88</v>
      </c>
      <c r="H9">
        <v>16.66</v>
      </c>
      <c r="I9">
        <v>16.61</v>
      </c>
      <c r="J9">
        <v>16.809999999999999</v>
      </c>
      <c r="K9" s="4">
        <v>16.78</v>
      </c>
      <c r="L9" s="5">
        <f>AVERAGE(B9:K9)</f>
        <v>16.809999999999999</v>
      </c>
      <c r="M9">
        <f>L9/10</f>
        <v>1.6809999999999998</v>
      </c>
      <c r="N9" s="19" t="s">
        <v>21</v>
      </c>
      <c r="O9">
        <v>0.79700000000000004</v>
      </c>
      <c r="P9" s="15">
        <f>(4*3.141592*3.141592*O9)/(M9*M9)</f>
        <v>11.134800762963055</v>
      </c>
      <c r="Q9">
        <v>9.7995000000000001</v>
      </c>
      <c r="R9" s="7">
        <f t="shared" ref="R9:R10" si="1">P9/Q9-1</f>
        <v>0.13626213204378335</v>
      </c>
      <c r="S9" s="8">
        <v>46187</v>
      </c>
    </row>
    <row r="10" spans="1:19" ht="15" thickBot="1">
      <c r="A10" s="23" t="s">
        <v>22</v>
      </c>
      <c r="B10">
        <v>17.010000000000002</v>
      </c>
      <c r="C10">
        <v>17.05</v>
      </c>
      <c r="D10">
        <v>17.010000000000002</v>
      </c>
      <c r="E10">
        <v>17.010000000000002</v>
      </c>
      <c r="F10">
        <v>17.2</v>
      </c>
      <c r="G10">
        <v>17.05</v>
      </c>
      <c r="H10">
        <v>16.8</v>
      </c>
      <c r="I10">
        <v>16.96</v>
      </c>
      <c r="J10">
        <v>16.96</v>
      </c>
      <c r="K10" s="4">
        <v>17.059999999999999</v>
      </c>
      <c r="L10" s="16">
        <f>AVERAGE(B10:K10)</f>
        <v>17.011000000000003</v>
      </c>
      <c r="M10">
        <f>L10/10</f>
        <v>1.7011000000000003</v>
      </c>
      <c r="N10" s="19" t="s">
        <v>21</v>
      </c>
      <c r="O10">
        <v>0.79700000000000004</v>
      </c>
      <c r="P10" s="17">
        <f>(4*3.141592*3.141592*O10)/(M10*M10)</f>
        <v>10.873220324616115</v>
      </c>
      <c r="Q10">
        <v>9.7995000000000001</v>
      </c>
      <c r="R10" s="10">
        <f t="shared" si="1"/>
        <v>0.10956888867963821</v>
      </c>
    </row>
    <row r="11" spans="1:19" ht="15" thickBot="1">
      <c r="A11" s="18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3"/>
      <c r="L11" s="12"/>
      <c r="M11" s="2"/>
      <c r="N11" s="2"/>
      <c r="O11" s="2"/>
      <c r="P11" s="13"/>
      <c r="Q11" s="2"/>
      <c r="R11" s="14"/>
    </row>
    <row r="12" spans="1:19">
      <c r="A12" s="23" t="s">
        <v>20</v>
      </c>
      <c r="B12">
        <v>16.68</v>
      </c>
      <c r="C12">
        <v>16.75</v>
      </c>
      <c r="D12">
        <v>16.88</v>
      </c>
      <c r="E12">
        <v>16.600000000000001</v>
      </c>
      <c r="F12">
        <v>16.760000000000002</v>
      </c>
      <c r="G12">
        <v>16.93</v>
      </c>
      <c r="H12">
        <v>16.7</v>
      </c>
      <c r="I12">
        <v>16.48</v>
      </c>
      <c r="J12">
        <v>16.68</v>
      </c>
      <c r="K12" s="4">
        <v>16.600000000000001</v>
      </c>
      <c r="L12" s="5">
        <f>AVERAGE(B12:K12)</f>
        <v>16.706</v>
      </c>
      <c r="M12">
        <f>L12/10</f>
        <v>1.6705999999999999</v>
      </c>
      <c r="N12" s="19" t="s">
        <v>21</v>
      </c>
      <c r="O12">
        <v>0.79700000000000004</v>
      </c>
      <c r="P12" s="15">
        <f>(4*3.141592*3.141592*O12)/(M12*M12)</f>
        <v>11.273867420792323</v>
      </c>
      <c r="Q12">
        <v>9.7995000000000001</v>
      </c>
      <c r="R12" s="7">
        <f t="shared" ref="R12:R13" si="2">P12/Q12-1</f>
        <v>0.15045333137326633</v>
      </c>
      <c r="S12" s="8">
        <v>46187</v>
      </c>
    </row>
    <row r="13" spans="1:19" ht="15" thickBot="1">
      <c r="A13" s="23" t="s">
        <v>22</v>
      </c>
      <c r="B13">
        <v>16.68</v>
      </c>
      <c r="C13">
        <v>17.18</v>
      </c>
      <c r="D13">
        <v>17.059999999999999</v>
      </c>
      <c r="E13">
        <v>17.100000000000001</v>
      </c>
      <c r="F13">
        <v>17.14</v>
      </c>
      <c r="G13">
        <v>17.079999999999998</v>
      </c>
      <c r="H13">
        <v>17.16</v>
      </c>
      <c r="I13">
        <v>17.13</v>
      </c>
      <c r="J13">
        <v>17.13</v>
      </c>
      <c r="K13" s="4">
        <v>17.079999999999998</v>
      </c>
      <c r="L13" s="5">
        <f>AVERAGE(B13:K13)</f>
        <v>17.074000000000002</v>
      </c>
      <c r="M13">
        <f>L13/10</f>
        <v>1.7074000000000003</v>
      </c>
      <c r="N13" s="19" t="s">
        <v>21</v>
      </c>
      <c r="O13">
        <v>0.79700000000000004</v>
      </c>
      <c r="P13" s="17">
        <f>(4*3.141592*3.141592*O13)/(M13*M13)</f>
        <v>10.793127892488863</v>
      </c>
      <c r="Q13">
        <v>9.7995000000000001</v>
      </c>
      <c r="R13" s="10">
        <f t="shared" si="2"/>
        <v>0.10139577452817616</v>
      </c>
    </row>
    <row r="15" spans="1:19">
      <c r="N15" s="19"/>
    </row>
    <row r="16" spans="1:19">
      <c r="N16" s="19"/>
    </row>
  </sheetData>
  <mergeCells count="1">
    <mergeCell ref="A1:R3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1D28-3EB8-4CD4-A811-0CF7EE60D471}">
  <dimension ref="A1:S16"/>
  <sheetViews>
    <sheetView zoomScale="77" workbookViewId="0">
      <selection activeCell="A24" sqref="A24"/>
    </sheetView>
  </sheetViews>
  <sheetFormatPr defaultColWidth="11.42578125" defaultRowHeight="14.45"/>
  <cols>
    <col min="13" max="14" width="10.85546875" customWidth="1"/>
  </cols>
  <sheetData>
    <row r="1" spans="1:19" ht="14.45" customHeight="1">
      <c r="A1" s="24" t="s">
        <v>32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9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9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9">
      <c r="A4" s="21"/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2" t="s">
        <v>10</v>
      </c>
      <c r="L4" s="21"/>
      <c r="M4" s="21" t="s">
        <v>11</v>
      </c>
      <c r="N4" s="21" t="s">
        <v>12</v>
      </c>
      <c r="O4" s="21" t="s">
        <v>13</v>
      </c>
      <c r="P4" s="21" t="s">
        <v>14</v>
      </c>
      <c r="Q4" s="21" t="s">
        <v>15</v>
      </c>
      <c r="R4" s="22" t="s">
        <v>16</v>
      </c>
      <c r="S4" s="21" t="s">
        <v>17</v>
      </c>
    </row>
    <row r="5" spans="1:19">
      <c r="A5" s="1" t="s">
        <v>27</v>
      </c>
      <c r="B5" s="2"/>
      <c r="C5" s="2"/>
      <c r="D5" s="2"/>
      <c r="E5" s="2"/>
      <c r="F5" s="2"/>
      <c r="G5" s="2"/>
      <c r="H5" s="2"/>
      <c r="I5" s="2"/>
      <c r="J5" s="2"/>
      <c r="K5" s="3"/>
      <c r="L5" s="2"/>
      <c r="M5" s="2"/>
      <c r="N5" s="2"/>
      <c r="O5" s="2"/>
      <c r="P5" s="2"/>
      <c r="Q5" s="2"/>
      <c r="R5" s="3"/>
    </row>
    <row r="6" spans="1:19" ht="15" thickBot="1">
      <c r="A6" s="23" t="s">
        <v>20</v>
      </c>
      <c r="B6">
        <v>15.51</v>
      </c>
      <c r="C6">
        <v>15.48</v>
      </c>
      <c r="D6">
        <v>15.5</v>
      </c>
      <c r="E6">
        <v>15.61</v>
      </c>
      <c r="F6">
        <v>15.5</v>
      </c>
      <c r="G6">
        <v>15.5</v>
      </c>
      <c r="H6">
        <v>15.45</v>
      </c>
      <c r="I6">
        <v>15.43</v>
      </c>
      <c r="J6">
        <v>15.43</v>
      </c>
      <c r="K6" s="4">
        <v>15.53</v>
      </c>
      <c r="L6" s="5">
        <f>AVERAGE(B6:K6)</f>
        <v>15.494</v>
      </c>
      <c r="M6">
        <f>L6/10</f>
        <v>1.5493999999999999</v>
      </c>
      <c r="N6" s="19" t="s">
        <v>21</v>
      </c>
      <c r="O6">
        <v>0.60499999999999998</v>
      </c>
      <c r="P6" s="6">
        <f>(4*3.141592*3.141592*O6)/(M6*M6)</f>
        <v>9.9491923532448183</v>
      </c>
      <c r="Q6">
        <v>9.7995000000000001</v>
      </c>
      <c r="R6" s="7">
        <f>P6/Q6-1</f>
        <v>1.527550928565935E-2</v>
      </c>
      <c r="S6" s="8">
        <v>46187</v>
      </c>
    </row>
    <row r="7" spans="1:19">
      <c r="A7" s="23" t="s">
        <v>22</v>
      </c>
      <c r="B7">
        <v>15.68</v>
      </c>
      <c r="C7">
        <v>15.5</v>
      </c>
      <c r="D7">
        <v>15.65</v>
      </c>
      <c r="E7">
        <v>15.7</v>
      </c>
      <c r="F7">
        <v>15.61</v>
      </c>
      <c r="G7">
        <v>15.55</v>
      </c>
      <c r="H7">
        <v>15.63</v>
      </c>
      <c r="I7">
        <v>15.61</v>
      </c>
      <c r="J7">
        <v>15.61</v>
      </c>
      <c r="K7" s="4">
        <v>15.6</v>
      </c>
      <c r="L7" s="5">
        <f>AVERAGE(B7:K7)</f>
        <v>15.613999999999999</v>
      </c>
      <c r="M7">
        <f>L7/10</f>
        <v>1.5613999999999999</v>
      </c>
      <c r="N7" s="19" t="s">
        <v>21</v>
      </c>
      <c r="O7">
        <v>0.60499999999999998</v>
      </c>
      <c r="P7" s="9">
        <f t="shared" ref="P7" si="0">(4*3.141592*3.141592*O7)/(M7*M7)</f>
        <v>9.7968527522803797</v>
      </c>
      <c r="Q7">
        <v>9.7995000000000001</v>
      </c>
      <c r="R7" s="10">
        <f t="shared" ref="R7" si="1">P7/Q7-1</f>
        <v>-2.7014110103784628E-4</v>
      </c>
    </row>
    <row r="8" spans="1:19" ht="15" thickBot="1">
      <c r="A8" s="11" t="s">
        <v>33</v>
      </c>
      <c r="B8" s="2"/>
      <c r="C8" s="2"/>
      <c r="D8" s="2"/>
      <c r="E8" s="2"/>
      <c r="F8" s="2"/>
      <c r="G8" s="2"/>
      <c r="H8" s="2"/>
      <c r="I8" s="2"/>
      <c r="J8" s="2"/>
      <c r="K8" s="3"/>
      <c r="L8" s="12"/>
      <c r="M8" s="2"/>
      <c r="N8" s="2"/>
      <c r="O8" s="2"/>
      <c r="P8" s="13"/>
      <c r="Q8" s="2"/>
      <c r="R8" s="14"/>
    </row>
    <row r="9" spans="1:19">
      <c r="A9" s="23" t="s">
        <v>20</v>
      </c>
      <c r="B9">
        <v>15.46</v>
      </c>
      <c r="C9">
        <v>15.46</v>
      </c>
      <c r="D9">
        <v>15.51</v>
      </c>
      <c r="E9">
        <v>15.6</v>
      </c>
      <c r="F9">
        <v>15.61</v>
      </c>
      <c r="G9">
        <v>15.56</v>
      </c>
      <c r="H9">
        <v>15.46</v>
      </c>
      <c r="I9">
        <v>15.51</v>
      </c>
      <c r="J9">
        <v>15.51</v>
      </c>
      <c r="K9" s="4">
        <v>15.53</v>
      </c>
      <c r="L9" s="5">
        <f>AVERAGE(B9:K9)</f>
        <v>15.521000000000001</v>
      </c>
      <c r="M9">
        <f>L9/10</f>
        <v>1.5521</v>
      </c>
      <c r="N9" s="19" t="s">
        <v>21</v>
      </c>
      <c r="O9">
        <v>0.60499999999999998</v>
      </c>
      <c r="P9" s="15">
        <f t="shared" ref="P9:P10" si="2">(4*3.141592*3.141592*O9)/(M9*M9)</f>
        <v>9.9146076559180401</v>
      </c>
      <c r="Q9">
        <v>9.7995000000000001</v>
      </c>
      <c r="R9" s="7">
        <f t="shared" ref="R9:R10" si="3">P9/Q9-1</f>
        <v>1.1746278475232463E-2</v>
      </c>
      <c r="S9" s="8">
        <v>46187</v>
      </c>
    </row>
    <row r="10" spans="1:19" ht="15" thickBot="1">
      <c r="A10" s="23" t="s">
        <v>22</v>
      </c>
      <c r="B10">
        <v>15.63</v>
      </c>
      <c r="C10">
        <v>15.63</v>
      </c>
      <c r="D10">
        <v>15.6</v>
      </c>
      <c r="E10">
        <v>15.51</v>
      </c>
      <c r="F10">
        <v>15.63</v>
      </c>
      <c r="G10">
        <v>15.66</v>
      </c>
      <c r="H10">
        <v>15.58</v>
      </c>
      <c r="I10">
        <v>15.6</v>
      </c>
      <c r="J10">
        <v>15.63</v>
      </c>
      <c r="K10" s="4">
        <v>15.73</v>
      </c>
      <c r="L10" s="16">
        <f>AVERAGE(B10:K10)</f>
        <v>15.62</v>
      </c>
      <c r="M10">
        <f>L10/10</f>
        <v>1.5619999999999998</v>
      </c>
      <c r="N10" s="19" t="s">
        <v>21</v>
      </c>
      <c r="O10">
        <v>0.60499999999999998</v>
      </c>
      <c r="P10" s="17">
        <f t="shared" si="2"/>
        <v>9.7893278064511051</v>
      </c>
      <c r="Q10">
        <v>9.7995000000000001</v>
      </c>
      <c r="R10" s="10">
        <f t="shared" si="3"/>
        <v>-1.0380318943716826E-3</v>
      </c>
    </row>
    <row r="11" spans="1:19" ht="15" thickBot="1">
      <c r="A11" s="18" t="s">
        <v>34</v>
      </c>
      <c r="B11" s="2"/>
      <c r="C11" s="2"/>
      <c r="D11" s="2"/>
      <c r="E11" s="2"/>
      <c r="F11" s="2"/>
      <c r="G11" s="2"/>
      <c r="H11" s="2"/>
      <c r="I11" s="2"/>
      <c r="J11" s="2"/>
      <c r="K11" s="3"/>
      <c r="L11" s="12"/>
      <c r="M11" s="2"/>
      <c r="N11" s="2"/>
      <c r="O11" s="2"/>
      <c r="P11" s="13"/>
      <c r="Q11" s="2"/>
      <c r="R11" s="14"/>
    </row>
    <row r="12" spans="1:19">
      <c r="A12" s="23" t="s">
        <v>20</v>
      </c>
      <c r="B12">
        <v>15.56</v>
      </c>
      <c r="C12">
        <v>15.51</v>
      </c>
      <c r="D12">
        <v>15.6</v>
      </c>
      <c r="E12">
        <v>15.48</v>
      </c>
      <c r="F12">
        <v>15.58</v>
      </c>
      <c r="G12">
        <v>15.57</v>
      </c>
      <c r="H12">
        <v>15.51</v>
      </c>
      <c r="I12">
        <v>15.5</v>
      </c>
      <c r="J12">
        <v>15.56</v>
      </c>
      <c r="K12" s="4">
        <v>15.55</v>
      </c>
      <c r="L12" s="5">
        <f>AVERAGE(B12:K12)</f>
        <v>15.542000000000002</v>
      </c>
      <c r="M12">
        <f>L12/10</f>
        <v>1.5542000000000002</v>
      </c>
      <c r="N12" s="19" t="s">
        <v>21</v>
      </c>
      <c r="O12">
        <v>0.60499999999999998</v>
      </c>
      <c r="P12" s="15">
        <f t="shared" ref="P12:P13" si="4">(4*3.141592*3.141592*O12)/(M12*M12)</f>
        <v>9.8878329681515034</v>
      </c>
      <c r="Q12">
        <v>9.7995000000000001</v>
      </c>
      <c r="R12" s="7">
        <f t="shared" ref="R12:R13" si="5">P12/Q12-1</f>
        <v>9.014028078116576E-3</v>
      </c>
      <c r="S12" s="8">
        <v>46187</v>
      </c>
    </row>
    <row r="13" spans="1:19" ht="15" thickBot="1">
      <c r="A13" s="23" t="s">
        <v>22</v>
      </c>
      <c r="B13">
        <v>15.65</v>
      </c>
      <c r="C13">
        <v>15.6</v>
      </c>
      <c r="D13">
        <v>15.58</v>
      </c>
      <c r="E13">
        <v>15.53</v>
      </c>
      <c r="F13">
        <v>15.63</v>
      </c>
      <c r="G13">
        <v>15.68</v>
      </c>
      <c r="H13">
        <v>15.58</v>
      </c>
      <c r="I13">
        <v>15.5</v>
      </c>
      <c r="J13">
        <v>15.68</v>
      </c>
      <c r="K13" s="4">
        <v>15.6</v>
      </c>
      <c r="L13" s="5">
        <f>AVERAGE(B13:K13)</f>
        <v>15.602999999999998</v>
      </c>
      <c r="M13">
        <f>L13/10</f>
        <v>1.5602999999999998</v>
      </c>
      <c r="N13" s="19" t="s">
        <v>21</v>
      </c>
      <c r="O13">
        <v>0.60499999999999998</v>
      </c>
      <c r="P13" s="17">
        <f t="shared" si="4"/>
        <v>9.8106710394270173</v>
      </c>
      <c r="Q13">
        <v>9.7995000000000001</v>
      </c>
      <c r="R13" s="10">
        <f t="shared" si="5"/>
        <v>1.1399601435804207E-3</v>
      </c>
    </row>
    <row r="14" spans="1:19" ht="15" thickBot="1">
      <c r="A14" s="18" t="s">
        <v>25</v>
      </c>
      <c r="B14" s="2"/>
      <c r="C14" s="2"/>
      <c r="D14" s="2"/>
      <c r="E14" s="2"/>
      <c r="F14" s="2"/>
      <c r="G14" s="2"/>
      <c r="H14" s="2"/>
      <c r="I14" s="2"/>
      <c r="J14" s="2"/>
      <c r="K14" s="3"/>
      <c r="L14" s="12"/>
      <c r="M14" s="2"/>
      <c r="N14" s="2"/>
      <c r="O14" s="2"/>
      <c r="P14" s="13"/>
      <c r="Q14" s="2"/>
      <c r="R14" s="14"/>
    </row>
    <row r="15" spans="1:19">
      <c r="A15" s="23" t="s">
        <v>20</v>
      </c>
      <c r="B15">
        <v>15.56</v>
      </c>
      <c r="C15">
        <v>15.48</v>
      </c>
      <c r="D15">
        <v>15.66</v>
      </c>
      <c r="E15">
        <v>15.45</v>
      </c>
      <c r="F15">
        <v>15.56</v>
      </c>
      <c r="G15">
        <v>15.5</v>
      </c>
      <c r="H15">
        <v>15.55</v>
      </c>
      <c r="I15">
        <v>15.58</v>
      </c>
      <c r="J15">
        <v>15.43</v>
      </c>
      <c r="K15" s="4">
        <v>15.56</v>
      </c>
      <c r="L15" s="5">
        <f>AVERAGE(B15:K15)</f>
        <v>15.533000000000001</v>
      </c>
      <c r="M15">
        <f>L15/10</f>
        <v>1.5533000000000001</v>
      </c>
      <c r="N15" s="19" t="s">
        <v>21</v>
      </c>
      <c r="O15">
        <v>0.60499999999999998</v>
      </c>
      <c r="P15" s="15">
        <f t="shared" ref="P15:P16" si="6">(4*3.141592*3.141592*O15)/(M15*M15)</f>
        <v>9.8992945374266359</v>
      </c>
      <c r="Q15">
        <v>9.7995000000000001</v>
      </c>
      <c r="R15" s="7">
        <f t="shared" ref="R15:R16" si="7">P15/Q15-1</f>
        <v>1.0183635637189159E-2</v>
      </c>
      <c r="S15" s="8">
        <v>46187</v>
      </c>
    </row>
    <row r="16" spans="1:19" ht="15" thickBot="1">
      <c r="A16" s="23" t="s">
        <v>22</v>
      </c>
      <c r="B16">
        <v>15.58</v>
      </c>
      <c r="C16">
        <v>15.73</v>
      </c>
      <c r="D16">
        <v>15.68</v>
      </c>
      <c r="E16">
        <v>15.51</v>
      </c>
      <c r="F16">
        <v>15.7</v>
      </c>
      <c r="G16">
        <v>15.68</v>
      </c>
      <c r="H16">
        <v>15.56</v>
      </c>
      <c r="I16">
        <v>15.7</v>
      </c>
      <c r="J16">
        <v>15.66</v>
      </c>
      <c r="K16" s="4">
        <v>15.63</v>
      </c>
      <c r="L16" s="5">
        <f>AVERAGE(B16:K16)</f>
        <v>15.643000000000001</v>
      </c>
      <c r="M16">
        <f>L16/10</f>
        <v>1.5643</v>
      </c>
      <c r="N16" s="19" t="s">
        <v>21</v>
      </c>
      <c r="O16">
        <v>0.60499999999999998</v>
      </c>
      <c r="P16" s="17">
        <f t="shared" si="6"/>
        <v>9.760562350146067</v>
      </c>
      <c r="Q16">
        <v>9.7995000000000001</v>
      </c>
      <c r="R16" s="10">
        <f t="shared" si="7"/>
        <v>-3.9734323030699015E-3</v>
      </c>
    </row>
  </sheetData>
  <mergeCells count="1">
    <mergeCell ref="A1:R3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B1458-C0F9-4726-B516-BA166AD09192}">
  <dimension ref="A1:S16"/>
  <sheetViews>
    <sheetView zoomScale="76" workbookViewId="0">
      <selection activeCell="N4" sqref="N4:N16"/>
    </sheetView>
  </sheetViews>
  <sheetFormatPr defaultColWidth="11.42578125" defaultRowHeight="14.45"/>
  <sheetData>
    <row r="1" spans="1:19" ht="14.4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9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9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9">
      <c r="A4" s="21"/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2" t="s">
        <v>10</v>
      </c>
      <c r="L4" s="21"/>
      <c r="M4" s="21" t="s">
        <v>11</v>
      </c>
      <c r="N4" s="21" t="s">
        <v>12</v>
      </c>
      <c r="O4" s="21" t="s">
        <v>13</v>
      </c>
      <c r="P4" s="21" t="s">
        <v>14</v>
      </c>
      <c r="Q4" s="21" t="s">
        <v>15</v>
      </c>
      <c r="R4" s="22" t="s">
        <v>16</v>
      </c>
      <c r="S4" s="21" t="s">
        <v>17</v>
      </c>
    </row>
    <row r="5" spans="1:19">
      <c r="A5" s="1" t="s">
        <v>27</v>
      </c>
      <c r="B5" s="2"/>
      <c r="C5" s="2"/>
      <c r="D5" s="2"/>
      <c r="E5" s="2"/>
      <c r="F5" s="2"/>
      <c r="G5" s="2"/>
      <c r="H5" s="2"/>
      <c r="I5" s="2"/>
      <c r="J5" s="2"/>
      <c r="K5" s="3"/>
      <c r="L5" s="2"/>
      <c r="M5" s="2"/>
      <c r="N5" s="2"/>
      <c r="O5" s="2"/>
      <c r="P5" s="2"/>
      <c r="Q5" s="2"/>
      <c r="R5" s="3"/>
    </row>
    <row r="6" spans="1:19" ht="15" thickBot="1">
      <c r="A6" s="23" t="s">
        <v>20</v>
      </c>
      <c r="B6">
        <v>16.844736999999999</v>
      </c>
      <c r="C6">
        <v>16.91189</v>
      </c>
      <c r="D6">
        <v>16.968048</v>
      </c>
      <c r="E6">
        <v>17.011261000000001</v>
      </c>
      <c r="F6">
        <v>16.856646000000001</v>
      </c>
      <c r="G6">
        <v>16.939133999999999</v>
      </c>
      <c r="H6">
        <v>16.969339999999999</v>
      </c>
      <c r="I6">
        <v>16.993327000000001</v>
      </c>
      <c r="J6">
        <v>16.943646999999999</v>
      </c>
      <c r="K6" s="4">
        <v>16.964230000000001</v>
      </c>
      <c r="L6" s="5">
        <f t="shared" ref="L6" si="0">AVERAGE(B6:K6)</f>
        <v>16.940226000000003</v>
      </c>
      <c r="M6">
        <f>L6/10</f>
        <v>1.6940226000000003</v>
      </c>
      <c r="N6" s="19" t="s">
        <v>35</v>
      </c>
      <c r="O6">
        <v>0.8</v>
      </c>
      <c r="P6" s="6">
        <f t="shared" ref="P6" si="1">(4*3.141592*3.141592*O6)/(M6*M6)</f>
        <v>11.00553458908613</v>
      </c>
      <c r="Q6">
        <v>9.8072999999999997</v>
      </c>
      <c r="R6" s="7">
        <f t="shared" ref="R6" si="2">P6/Q6-1</f>
        <v>0.12217782560808077</v>
      </c>
      <c r="S6" s="8">
        <v>46178</v>
      </c>
    </row>
    <row r="7" spans="1:19">
      <c r="A7" s="23" t="s">
        <v>22</v>
      </c>
      <c r="B7">
        <v>17.137288999999999</v>
      </c>
      <c r="C7">
        <v>17.082336999999999</v>
      </c>
      <c r="D7">
        <v>17.126384000000002</v>
      </c>
      <c r="E7">
        <v>17.105221</v>
      </c>
      <c r="F7">
        <v>17.154207</v>
      </c>
      <c r="G7">
        <v>17.114688999999998</v>
      </c>
      <c r="H7">
        <v>16.992789999999999</v>
      </c>
      <c r="I7">
        <v>17.099888</v>
      </c>
      <c r="J7">
        <v>17.060366999999999</v>
      </c>
      <c r="K7" s="4">
        <v>17.126670000000001</v>
      </c>
      <c r="L7" s="5">
        <f>AVERAGE(B7:K7)</f>
        <v>17.099984200000002</v>
      </c>
      <c r="M7">
        <f>L7/10</f>
        <v>1.7099984200000002</v>
      </c>
      <c r="N7" s="19" t="s">
        <v>35</v>
      </c>
      <c r="O7">
        <v>0.8</v>
      </c>
      <c r="P7" s="9">
        <f>(4*3.141592*3.141592*O7)/(M7*M7)</f>
        <v>10.800854726499242</v>
      </c>
      <c r="Q7">
        <v>9.8072999999999997</v>
      </c>
      <c r="R7" s="10">
        <f>P7/Q7-1</f>
        <v>0.10130767147933106</v>
      </c>
    </row>
    <row r="8" spans="1:19" ht="15" thickBot="1">
      <c r="A8" s="11" t="s">
        <v>28</v>
      </c>
      <c r="B8" s="2"/>
      <c r="C8" s="2"/>
      <c r="D8" s="2"/>
      <c r="E8" s="2"/>
      <c r="F8" s="2"/>
      <c r="G8" s="2"/>
      <c r="H8" s="2"/>
      <c r="I8" s="2"/>
      <c r="J8" s="2"/>
      <c r="K8" s="3"/>
      <c r="L8" s="12"/>
      <c r="M8" s="2"/>
      <c r="N8" s="20"/>
      <c r="O8" s="2"/>
      <c r="P8" s="13"/>
      <c r="Q8" s="2"/>
      <c r="R8" s="14"/>
    </row>
    <row r="9" spans="1:19">
      <c r="A9" s="23" t="s">
        <v>20</v>
      </c>
      <c r="B9">
        <v>16.923642999999998</v>
      </c>
      <c r="C9">
        <v>16.995123</v>
      </c>
      <c r="D9">
        <v>16.914577999999999</v>
      </c>
      <c r="E9">
        <v>17.015647000000001</v>
      </c>
      <c r="F9">
        <v>16.991312000000001</v>
      </c>
      <c r="G9">
        <v>16.878992</v>
      </c>
      <c r="H9">
        <v>16.894634</v>
      </c>
      <c r="I9">
        <v>16.910540000000001</v>
      </c>
      <c r="J9">
        <v>16.939857</v>
      </c>
      <c r="K9" s="4">
        <v>16.935884999999999</v>
      </c>
      <c r="L9" s="5">
        <f t="shared" ref="L9:L10" si="3">AVERAGE(B9:K9)</f>
        <v>16.940021100000003</v>
      </c>
      <c r="M9">
        <f>L9/10</f>
        <v>1.6940021100000002</v>
      </c>
      <c r="N9" s="19" t="s">
        <v>36</v>
      </c>
      <c r="O9">
        <v>0.8</v>
      </c>
      <c r="P9" s="15">
        <f t="shared" ref="P9:P10" si="4">(4*3.141592*3.141592*O9)/(M9*M9)</f>
        <v>11.005800828149471</v>
      </c>
      <c r="Q9">
        <v>9.8072999999999997</v>
      </c>
      <c r="R9" s="7">
        <f t="shared" ref="R9" si="5">P9/Q9-1</f>
        <v>0.12220497263767527</v>
      </c>
      <c r="S9" s="8">
        <v>46178</v>
      </c>
    </row>
    <row r="10" spans="1:19" ht="15" thickBot="1">
      <c r="A10" s="23" t="s">
        <v>22</v>
      </c>
      <c r="B10">
        <v>17.088359000000001</v>
      </c>
      <c r="C10">
        <v>17.077014999999999</v>
      </c>
      <c r="D10">
        <v>17.133278000000001</v>
      </c>
      <c r="E10">
        <v>17.134965000000001</v>
      </c>
      <c r="F10">
        <v>17.089219</v>
      </c>
      <c r="G10">
        <v>17.092646999999999</v>
      </c>
      <c r="H10">
        <v>17.083552000000001</v>
      </c>
      <c r="I10">
        <v>17.029834000000001</v>
      </c>
      <c r="J10">
        <v>17.141235000000002</v>
      </c>
      <c r="K10" s="4">
        <v>17.120117</v>
      </c>
      <c r="L10" s="16">
        <f t="shared" si="3"/>
        <v>17.099022099999999</v>
      </c>
      <c r="M10">
        <f>L10/10</f>
        <v>1.7099022099999999</v>
      </c>
      <c r="N10" s="19" t="s">
        <v>37</v>
      </c>
      <c r="O10">
        <v>0.8</v>
      </c>
      <c r="P10" s="17">
        <f t="shared" si="4"/>
        <v>10.802070210591575</v>
      </c>
      <c r="Q10">
        <v>9.8072999999999997</v>
      </c>
      <c r="R10" s="10">
        <f>P10/Q10-1</f>
        <v>0.10143160814817276</v>
      </c>
    </row>
    <row r="11" spans="1:19" ht="15" thickBot="1">
      <c r="A11" s="18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12"/>
      <c r="M11" s="2"/>
      <c r="N11" s="20"/>
      <c r="O11" s="2"/>
      <c r="P11" s="13"/>
      <c r="Q11" s="2"/>
      <c r="R11" s="14"/>
    </row>
    <row r="12" spans="1:19">
      <c r="A12" s="23" t="s">
        <v>20</v>
      </c>
      <c r="B12">
        <v>16.918278000000001</v>
      </c>
      <c r="C12">
        <v>16.976300999999999</v>
      </c>
      <c r="D12">
        <v>16.939893000000001</v>
      </c>
      <c r="E12">
        <v>16.975504999999998</v>
      </c>
      <c r="F12">
        <v>16.901395000000001</v>
      </c>
      <c r="G12">
        <v>16.925719000000001</v>
      </c>
      <c r="H12">
        <v>16.873937000000002</v>
      </c>
      <c r="I12">
        <v>16.964096000000001</v>
      </c>
      <c r="J12">
        <v>16.895247000000001</v>
      </c>
      <c r="K12" s="4">
        <v>16.901057000000002</v>
      </c>
      <c r="L12" s="5">
        <f t="shared" ref="L12:L13" si="6">AVERAGE(B12:K12)</f>
        <v>16.927142800000006</v>
      </c>
      <c r="M12">
        <f>L12/10</f>
        <v>1.6927142800000006</v>
      </c>
      <c r="N12" s="19" t="s">
        <v>35</v>
      </c>
      <c r="O12">
        <v>0.8</v>
      </c>
      <c r="P12" s="15">
        <f t="shared" ref="P12:P13" si="7">(4*3.141592*3.141592*O12)/(M12*M12)</f>
        <v>11.022553793892113</v>
      </c>
      <c r="Q12">
        <v>9.8072999999999997</v>
      </c>
      <c r="R12" s="7">
        <f t="shared" ref="R12:R13" si="8">P12/Q12-1</f>
        <v>0.12391318649293015</v>
      </c>
      <c r="S12" s="8">
        <v>46180</v>
      </c>
    </row>
    <row r="13" spans="1:19" ht="15" thickBot="1">
      <c r="A13" s="23" t="s">
        <v>22</v>
      </c>
      <c r="B13">
        <v>17.115345999999999</v>
      </c>
      <c r="C13">
        <v>17.062249999999999</v>
      </c>
      <c r="D13">
        <v>17.089969</v>
      </c>
      <c r="E13">
        <v>17.087606000000001</v>
      </c>
      <c r="F13">
        <v>17.105540999999999</v>
      </c>
      <c r="G13">
        <v>17.075557</v>
      </c>
      <c r="H13">
        <v>17.153327000000001</v>
      </c>
      <c r="I13">
        <v>17.083818999999998</v>
      </c>
      <c r="J13">
        <v>17.112065999999999</v>
      </c>
      <c r="K13" s="4">
        <v>17.143585000000002</v>
      </c>
      <c r="L13" s="5">
        <f t="shared" si="6"/>
        <v>17.102906600000001</v>
      </c>
      <c r="M13">
        <f>L13/10</f>
        <v>1.7102906600000001</v>
      </c>
      <c r="N13" s="19" t="s">
        <v>35</v>
      </c>
      <c r="O13">
        <v>0.8</v>
      </c>
      <c r="P13" s="17">
        <f t="shared" si="7"/>
        <v>10.797163924478216</v>
      </c>
      <c r="Q13">
        <v>9.8072999999999997</v>
      </c>
      <c r="R13" s="10">
        <f t="shared" si="8"/>
        <v>0.10093133935723553</v>
      </c>
    </row>
    <row r="14" spans="1:19" ht="15" thickBot="1">
      <c r="A14" s="18" t="s">
        <v>25</v>
      </c>
      <c r="B14" s="2"/>
      <c r="C14" s="2"/>
      <c r="D14" s="2"/>
      <c r="E14" s="2"/>
      <c r="F14" s="2"/>
      <c r="G14" s="2"/>
      <c r="H14" s="2"/>
      <c r="I14" s="2"/>
      <c r="J14" s="2"/>
      <c r="K14" s="3"/>
      <c r="L14" s="12"/>
      <c r="M14" s="2"/>
      <c r="N14" s="20"/>
      <c r="O14" s="2"/>
      <c r="P14" s="13"/>
      <c r="Q14" s="2"/>
      <c r="R14" s="14"/>
    </row>
    <row r="15" spans="1:19">
      <c r="A15" s="23" t="s">
        <v>20</v>
      </c>
      <c r="B15">
        <v>16.912293999999999</v>
      </c>
      <c r="C15">
        <v>16.887986999999999</v>
      </c>
      <c r="D15">
        <v>16.923711999999998</v>
      </c>
      <c r="E15">
        <v>16.966218999999999</v>
      </c>
      <c r="F15">
        <v>16.914418999999999</v>
      </c>
      <c r="G15">
        <v>16.963975999999999</v>
      </c>
      <c r="H15">
        <v>17.019266999999999</v>
      </c>
      <c r="I15">
        <v>16.894487999999999</v>
      </c>
      <c r="J15">
        <v>16.936288000000001</v>
      </c>
      <c r="K15" s="4">
        <v>16.958881999999999</v>
      </c>
      <c r="L15" s="5">
        <f t="shared" ref="L15:L16" si="9">AVERAGE(B15:K15)</f>
        <v>16.937753199999996</v>
      </c>
      <c r="M15">
        <f>L15/10</f>
        <v>1.6937753199999996</v>
      </c>
      <c r="N15" s="19" t="s">
        <v>38</v>
      </c>
      <c r="O15">
        <v>0.8</v>
      </c>
      <c r="P15" s="15">
        <f t="shared" ref="P15:P16" si="10">(4*3.141592*3.141592*O15)/(M15*M15)</f>
        <v>11.008748294254474</v>
      </c>
      <c r="Q15">
        <v>9.8072999999999997</v>
      </c>
      <c r="R15" s="7">
        <f t="shared" ref="R15:R16" si="11">P15/Q15-1</f>
        <v>0.12250551061499837</v>
      </c>
      <c r="S15" s="8">
        <v>46180</v>
      </c>
    </row>
    <row r="16" spans="1:19" ht="15" thickBot="1">
      <c r="A16" s="23" t="s">
        <v>22</v>
      </c>
      <c r="B16">
        <v>17.092244999999998</v>
      </c>
      <c r="C16">
        <v>17.123714</v>
      </c>
      <c r="D16">
        <v>17.193985000000001</v>
      </c>
      <c r="E16">
        <v>17.041820999999999</v>
      </c>
      <c r="F16">
        <v>17.125914999999999</v>
      </c>
      <c r="G16">
        <v>17.090788</v>
      </c>
      <c r="H16">
        <v>17.091795000000001</v>
      </c>
      <c r="I16">
        <v>17.105889000000001</v>
      </c>
      <c r="J16">
        <v>17.111028000000001</v>
      </c>
      <c r="K16" s="4">
        <v>17.100258</v>
      </c>
      <c r="L16" s="5">
        <f t="shared" si="9"/>
        <v>17.107743800000001</v>
      </c>
      <c r="M16">
        <f>L16/10</f>
        <v>1.7107743800000001</v>
      </c>
      <c r="N16" s="19" t="s">
        <v>39</v>
      </c>
      <c r="O16">
        <v>0.8</v>
      </c>
      <c r="P16" s="17">
        <f t="shared" si="10"/>
        <v>10.791059009858397</v>
      </c>
      <c r="Q16">
        <v>9.8072999999999997</v>
      </c>
      <c r="R16" s="10">
        <f t="shared" si="11"/>
        <v>0.10030885257495914</v>
      </c>
    </row>
  </sheetData>
  <mergeCells count="1">
    <mergeCell ref="A1:R3"/>
  </mergeCells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30C8-8D46-4A0E-9135-76E907AFA588}">
  <dimension ref="A1:S16"/>
  <sheetViews>
    <sheetView tabSelected="1" zoomScale="69" workbookViewId="0">
      <selection activeCell="R19" sqref="R19"/>
    </sheetView>
  </sheetViews>
  <sheetFormatPr defaultColWidth="11.42578125" defaultRowHeight="14.45"/>
  <sheetData>
    <row r="1" spans="1:19" ht="14.45" customHeight="1">
      <c r="A1" s="24" t="s">
        <v>40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9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9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9">
      <c r="A4" s="21" cm="1">
        <f t="array" aca="1" ref="A4" ca="1">A4:F7</f>
        <v>0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2" t="s">
        <v>10</v>
      </c>
      <c r="L4" s="21"/>
      <c r="M4" s="21" t="s">
        <v>11</v>
      </c>
      <c r="N4" s="21" t="s">
        <v>12</v>
      </c>
      <c r="O4" s="21" t="s">
        <v>13</v>
      </c>
      <c r="P4" s="21" t="s">
        <v>14</v>
      </c>
      <c r="Q4" s="21" t="s">
        <v>15</v>
      </c>
      <c r="R4" s="22" t="s">
        <v>16</v>
      </c>
      <c r="S4" s="21" t="s">
        <v>17</v>
      </c>
    </row>
    <row r="5" spans="1:19">
      <c r="A5" s="1" t="s">
        <v>27</v>
      </c>
      <c r="B5" s="2"/>
      <c r="C5" s="2"/>
      <c r="D5" s="2"/>
      <c r="E5" s="2"/>
      <c r="F5" s="2"/>
      <c r="G5" s="2"/>
      <c r="H5" s="2"/>
      <c r="I5" s="2"/>
      <c r="J5" s="2"/>
      <c r="K5" s="3"/>
      <c r="L5" s="2"/>
      <c r="M5" s="2"/>
      <c r="N5" s="2"/>
      <c r="O5" s="2"/>
      <c r="P5" s="2"/>
      <c r="Q5" s="2"/>
      <c r="R5" s="3"/>
    </row>
    <row r="6" spans="1:19" ht="15" thickBot="1">
      <c r="A6" s="23" t="s">
        <v>20</v>
      </c>
      <c r="B6">
        <v>16.953607000000002</v>
      </c>
      <c r="C6">
        <v>16.976405</v>
      </c>
      <c r="D6">
        <v>16.960877</v>
      </c>
      <c r="E6">
        <v>16.94183</v>
      </c>
      <c r="F6">
        <v>16.895220999999999</v>
      </c>
      <c r="G6">
        <v>16.907502999999998</v>
      </c>
      <c r="H6">
        <v>16.954281999999999</v>
      </c>
      <c r="I6">
        <v>16.945893000000002</v>
      </c>
      <c r="J6">
        <v>16.939964</v>
      </c>
      <c r="K6" s="4">
        <v>16.919746</v>
      </c>
      <c r="L6" s="5">
        <f t="shared" ref="L6" si="0">AVERAGE(B6:K6)</f>
        <v>16.939532800000002</v>
      </c>
      <c r="M6">
        <f>L6/10</f>
        <v>1.6939532800000001</v>
      </c>
      <c r="N6" s="19" t="s">
        <v>41</v>
      </c>
      <c r="O6">
        <v>0.8</v>
      </c>
      <c r="P6" s="6">
        <f t="shared" ref="P6" si="1">(4*3.141592*3.141592*O6)/(M6*M6)</f>
        <v>11.006435345059163</v>
      </c>
      <c r="Q6">
        <v>9.7989999999999995</v>
      </c>
      <c r="R6" s="7">
        <f t="shared" ref="R6" si="2">P6/Q6-1</f>
        <v>0.12322026176744205</v>
      </c>
      <c r="S6" s="8">
        <v>46270</v>
      </c>
    </row>
    <row r="7" spans="1:19">
      <c r="A7" s="23" t="s">
        <v>22</v>
      </c>
      <c r="B7">
        <v>17.146298000000002</v>
      </c>
      <c r="C7">
        <v>17.164514</v>
      </c>
      <c r="D7">
        <v>17.129566000000001</v>
      </c>
      <c r="E7">
        <v>17.099616000000001</v>
      </c>
      <c r="F7">
        <v>17.119247000000001</v>
      </c>
      <c r="G7">
        <v>17.128753</v>
      </c>
      <c r="H7">
        <v>17.119194</v>
      </c>
      <c r="I7">
        <v>17.182739000000002</v>
      </c>
      <c r="J7">
        <v>17.174153</v>
      </c>
      <c r="K7" s="4">
        <v>17.139246</v>
      </c>
      <c r="L7" s="5">
        <f>AVERAGE(B7:K7)</f>
        <v>17.140332600000001</v>
      </c>
      <c r="M7">
        <f>L7/10</f>
        <v>1.7140332600000001</v>
      </c>
      <c r="N7" s="19" t="s">
        <v>42</v>
      </c>
      <c r="O7">
        <v>0.8</v>
      </c>
      <c r="P7" s="9">
        <f>(4*3.141592*3.141592*O7)/(M7*M7)</f>
        <v>10.7500640816539</v>
      </c>
      <c r="Q7">
        <v>9.7989999999999995</v>
      </c>
      <c r="R7" s="10">
        <f>P7/Q7-1</f>
        <v>9.7057259072752311E-2</v>
      </c>
    </row>
    <row r="8" spans="1:19" ht="15" thickBot="1">
      <c r="A8" s="11" t="s">
        <v>28</v>
      </c>
      <c r="B8" s="2"/>
      <c r="C8" s="2"/>
      <c r="D8" s="2"/>
      <c r="E8" s="2"/>
      <c r="F8" s="2"/>
      <c r="G8" s="2"/>
      <c r="H8" s="2"/>
      <c r="I8" s="2"/>
      <c r="J8" s="2"/>
      <c r="K8" s="3"/>
      <c r="L8" s="12"/>
      <c r="M8" s="2"/>
      <c r="N8" s="20"/>
      <c r="O8" s="2"/>
      <c r="P8" s="13"/>
      <c r="Q8" s="2"/>
      <c r="R8" s="14"/>
    </row>
    <row r="9" spans="1:19">
      <c r="A9" s="23" t="s">
        <v>20</v>
      </c>
      <c r="B9">
        <v>16.947412</v>
      </c>
      <c r="C9">
        <v>16.989187999999999</v>
      </c>
      <c r="D9">
        <v>16.943097000000002</v>
      </c>
      <c r="E9">
        <v>16.972781000000001</v>
      </c>
      <c r="F9">
        <v>16.952185</v>
      </c>
      <c r="G9">
        <v>16.892595</v>
      </c>
      <c r="H9">
        <v>16.895101</v>
      </c>
      <c r="I9">
        <v>16.924346</v>
      </c>
      <c r="J9">
        <v>16.965358999999999</v>
      </c>
      <c r="K9" s="4">
        <v>16.996123999999998</v>
      </c>
      <c r="L9" s="5">
        <f t="shared" ref="L9:L10" si="3">AVERAGE(B9:K9)</f>
        <v>16.9478188</v>
      </c>
      <c r="M9">
        <f>L9/10</f>
        <v>1.6947818800000001</v>
      </c>
      <c r="N9" s="19" t="s">
        <v>43</v>
      </c>
      <c r="O9">
        <v>0.8</v>
      </c>
      <c r="P9" s="15">
        <f t="shared" ref="P9:P10" si="4">(4*3.141592*3.141592*O9)/(M9*M9)</f>
        <v>10.995675608941873</v>
      </c>
      <c r="Q9">
        <v>9.7989999999999995</v>
      </c>
      <c r="R9" s="7">
        <f t="shared" ref="R9" si="5">P9/Q9-1</f>
        <v>0.12212221746523877</v>
      </c>
      <c r="S9" s="8">
        <v>46270</v>
      </c>
    </row>
    <row r="10" spans="1:19" ht="15" thickBot="1">
      <c r="A10" s="23" t="s">
        <v>22</v>
      </c>
      <c r="B10">
        <v>17.123369</v>
      </c>
      <c r="C10">
        <v>17.080313</v>
      </c>
      <c r="D10">
        <v>17.166181999999999</v>
      </c>
      <c r="E10">
        <v>17.120892000000001</v>
      </c>
      <c r="F10">
        <v>17.091090999999999</v>
      </c>
      <c r="G10">
        <v>17.145606999999998</v>
      </c>
      <c r="H10">
        <v>17.102155</v>
      </c>
      <c r="I10">
        <v>17.119606999999998</v>
      </c>
      <c r="J10">
        <v>17.126204000000001</v>
      </c>
      <c r="K10" s="4">
        <v>17.214483999999999</v>
      </c>
      <c r="L10" s="16">
        <f t="shared" si="3"/>
        <v>17.128990399999999</v>
      </c>
      <c r="M10">
        <f>L10/10</f>
        <v>1.7128990399999999</v>
      </c>
      <c r="N10" s="19" t="s">
        <v>44</v>
      </c>
      <c r="O10">
        <v>0.8</v>
      </c>
      <c r="P10" s="17">
        <f t="shared" si="4"/>
        <v>10.764305405000785</v>
      </c>
      <c r="Q10">
        <v>9.7989999999999995</v>
      </c>
      <c r="R10" s="10">
        <f>P10/Q10-1</f>
        <v>9.8510603633104044E-2</v>
      </c>
    </row>
    <row r="11" spans="1:19" ht="15" thickBot="1">
      <c r="A11" s="18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12"/>
      <c r="M11" s="2"/>
      <c r="N11" s="20"/>
      <c r="O11" s="2"/>
      <c r="P11" s="13"/>
      <c r="Q11" s="2"/>
      <c r="R11" s="14"/>
    </row>
    <row r="12" spans="1:19">
      <c r="A12" s="23" t="s">
        <v>20</v>
      </c>
      <c r="B12">
        <v>16.948919</v>
      </c>
      <c r="C12">
        <v>16.92482</v>
      </c>
      <c r="D12">
        <v>16.964811000000001</v>
      </c>
      <c r="E12">
        <v>16.924925000000002</v>
      </c>
      <c r="F12">
        <v>16.959036999999999</v>
      </c>
      <c r="G12">
        <v>16.904993999999999</v>
      </c>
      <c r="H12">
        <v>16.949157</v>
      </c>
      <c r="I12">
        <v>16.926120999999998</v>
      </c>
      <c r="J12">
        <v>16.969002</v>
      </c>
      <c r="K12" s="4">
        <v>16.960263000000001</v>
      </c>
      <c r="L12" s="5">
        <f t="shared" ref="L12:L13" si="6">AVERAGE(B12:K12)</f>
        <v>16.943204899999998</v>
      </c>
      <c r="M12">
        <f>L12/10</f>
        <v>1.6943204899999997</v>
      </c>
      <c r="N12" s="19" t="s">
        <v>45</v>
      </c>
      <c r="O12">
        <v>0.8</v>
      </c>
      <c r="P12" s="15">
        <f t="shared" ref="P12:P13" si="7">(4*3.141592*3.141592*O12)/(M12*M12)</f>
        <v>11.00166501362412</v>
      </c>
      <c r="Q12">
        <v>9.7989999999999995</v>
      </c>
      <c r="R12" s="7">
        <f t="shared" ref="R12:R13" si="8">P12/Q12-1</f>
        <v>0.12273344357833649</v>
      </c>
      <c r="S12" s="8">
        <v>46270</v>
      </c>
    </row>
    <row r="13" spans="1:19" ht="15" thickBot="1">
      <c r="A13" s="23" t="s">
        <v>22</v>
      </c>
      <c r="B13">
        <v>17.141738</v>
      </c>
      <c r="C13">
        <v>17.110292999999999</v>
      </c>
      <c r="D13">
        <v>17.123733999999999</v>
      </c>
      <c r="E13">
        <v>17.094729000000001</v>
      </c>
      <c r="F13">
        <v>17.069832999999999</v>
      </c>
      <c r="G13">
        <v>17.114612999999999</v>
      </c>
      <c r="H13">
        <v>17.121677999999999</v>
      </c>
      <c r="I13">
        <v>17.078240999999998</v>
      </c>
      <c r="J13">
        <v>17.13805</v>
      </c>
      <c r="K13" s="4">
        <v>17.055133000000001</v>
      </c>
      <c r="L13" s="5">
        <f t="shared" si="6"/>
        <v>17.1048042</v>
      </c>
      <c r="M13">
        <f>L13/10</f>
        <v>1.7104804200000001</v>
      </c>
      <c r="N13" s="19" t="s">
        <v>46</v>
      </c>
      <c r="O13">
        <v>0.8</v>
      </c>
      <c r="P13" s="17">
        <f t="shared" si="7"/>
        <v>10.794768391443213</v>
      </c>
      <c r="Q13">
        <v>9.7989999999999995</v>
      </c>
      <c r="R13" s="10">
        <f t="shared" si="8"/>
        <v>0.10161938886041577</v>
      </c>
    </row>
    <row r="14" spans="1:19" ht="15" thickBot="1">
      <c r="A14" s="18" t="s">
        <v>25</v>
      </c>
      <c r="B14" s="2"/>
      <c r="C14" s="2"/>
      <c r="D14" s="2"/>
      <c r="E14" s="2"/>
      <c r="F14" s="2"/>
      <c r="G14" s="2"/>
      <c r="H14" s="2"/>
      <c r="I14" s="2"/>
      <c r="J14" s="2"/>
      <c r="K14" s="3"/>
      <c r="L14" s="12"/>
      <c r="M14" s="2"/>
      <c r="N14" s="20"/>
      <c r="O14" s="2"/>
      <c r="P14" s="13"/>
      <c r="Q14" s="2"/>
      <c r="R14" s="14"/>
    </row>
    <row r="15" spans="1:19">
      <c r="A15" s="23" t="s">
        <v>20</v>
      </c>
      <c r="B15">
        <v>16.887286</v>
      </c>
      <c r="C15">
        <v>16.954561000000002</v>
      </c>
      <c r="D15">
        <v>16.885142999999999</v>
      </c>
      <c r="E15">
        <v>16.966397000000001</v>
      </c>
      <c r="F15">
        <v>16.942910999999999</v>
      </c>
      <c r="G15">
        <v>16.885635000000001</v>
      </c>
      <c r="H15">
        <v>16.922280000000001</v>
      </c>
      <c r="I15">
        <v>16.912119000000001</v>
      </c>
      <c r="J15">
        <v>16.934381999999999</v>
      </c>
      <c r="K15" s="4">
        <v>16.979718999999999</v>
      </c>
      <c r="L15" s="5">
        <f t="shared" ref="L15:L16" si="9">AVERAGE(B15:K15)</f>
        <v>16.927043299999998</v>
      </c>
      <c r="M15">
        <f>L15/10</f>
        <v>1.6927043299999998</v>
      </c>
      <c r="N15" s="19" t="s">
        <v>47</v>
      </c>
      <c r="O15">
        <v>0.8</v>
      </c>
      <c r="P15" s="15">
        <f t="shared" ref="P15:P16" si="10">(4*3.141592*3.141592*O15)/(M15*M15)</f>
        <v>11.022683379113413</v>
      </c>
      <c r="Q15">
        <v>9.7989999999999995</v>
      </c>
      <c r="R15" s="7">
        <f t="shared" ref="R15:R16" si="11">P15/Q15-1</f>
        <v>0.12487839362316699</v>
      </c>
      <c r="S15" s="8">
        <v>46270</v>
      </c>
    </row>
    <row r="16" spans="1:19" ht="15" thickBot="1">
      <c r="A16" s="23" t="s">
        <v>22</v>
      </c>
      <c r="B16">
        <v>17.367632</v>
      </c>
      <c r="C16">
        <v>17.108805</v>
      </c>
      <c r="D16">
        <v>17.140075</v>
      </c>
      <c r="E16">
        <v>17.134753</v>
      </c>
      <c r="F16">
        <v>17.120498999999999</v>
      </c>
      <c r="G16">
        <v>17.102018999999999</v>
      </c>
      <c r="H16">
        <v>17.112936999999999</v>
      </c>
      <c r="I16">
        <v>17.114896999999999</v>
      </c>
      <c r="J16">
        <v>17.135045000000002</v>
      </c>
      <c r="K16" s="4">
        <v>17.156541000000001</v>
      </c>
      <c r="L16" s="5">
        <f t="shared" si="9"/>
        <v>17.149320299999999</v>
      </c>
      <c r="M16">
        <f>L16/10</f>
        <v>1.7149320299999999</v>
      </c>
      <c r="N16" s="19" t="s">
        <v>48</v>
      </c>
      <c r="O16">
        <v>0.8</v>
      </c>
      <c r="P16" s="17">
        <f t="shared" si="10"/>
        <v>10.738799141569162</v>
      </c>
      <c r="Q16">
        <v>9.7989999999999995</v>
      </c>
      <c r="R16" s="10">
        <f t="shared" si="11"/>
        <v>9.5907658084412928E-2</v>
      </c>
    </row>
  </sheetData>
  <mergeCells count="1">
    <mergeCell ref="A1:R3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Aishan Nureddin</dc:creator>
  <cp:keywords/>
  <dc:description/>
  <cp:lastModifiedBy>Aishan Nureddin</cp:lastModifiedBy>
  <cp:revision/>
  <dcterms:created xsi:type="dcterms:W3CDTF">2026-09-26T08:35:16Z</dcterms:created>
  <dcterms:modified xsi:type="dcterms:W3CDTF">2026-10-01T12:06:40Z</dcterms:modified>
  <cp:category/>
  <cp:contentStatus/>
</cp:coreProperties>
</file>